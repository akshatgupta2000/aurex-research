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drawings/drawing2.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Music\Job &amp; Future\Future\Blogs &amp; Future\Aurex Research\Advanced Models\"/>
    </mc:Choice>
  </mc:AlternateContent>
  <xr:revisionPtr revIDLastSave="0" documentId="13_ncr:1_{F709A87A-A798-4909-856C-1AFC36A712BD}" xr6:coauthVersionLast="47" xr6:coauthVersionMax="47" xr10:uidLastSave="{00000000-0000-0000-0000-000000000000}"/>
  <bookViews>
    <workbookView xWindow="-108" yWindow="-108" windowWidth="23256" windowHeight="12456" firstSheet="13" activeTab="13" xr2:uid="{00000000-000D-0000-FFFF-FFFF00000000}"/>
  </bookViews>
  <sheets>
    <sheet name="Cover" sheetId="1" r:id="rId1"/>
    <sheet name="Control Panel" sheetId="2" r:id="rId2"/>
    <sheet name="Scenario Assumptions" sheetId="3" r:id="rId3"/>
    <sheet name="Operating Drivers" sheetId="4" r:id="rId4"/>
    <sheet name="Capex_Depreciation" sheetId="7" r:id="rId5"/>
    <sheet name="Debt_Interest" sheetId="8" r:id="rId6"/>
    <sheet name="Income_Statement" sheetId="5" r:id="rId7"/>
    <sheet name="Balance_Sheet" sheetId="6" r:id="rId8"/>
    <sheet name="Cash_Flow" sheetId="10" r:id="rId9"/>
    <sheet name="WACC" sheetId="11" r:id="rId10"/>
    <sheet name="DCF_Valuation" sheetId="12" r:id="rId11"/>
    <sheet name="LBO_Sources_Uses" sheetId="13" r:id="rId12"/>
    <sheet name="Equity_Returns" sheetId="14" r:id="rId13"/>
    <sheet name="LBO_Debt_Schedule" sheetId="15" r:id="rId14"/>
    <sheet name="Exit_Comparison" sheetId="16" r:id="rId15"/>
    <sheet name="IRR_Sensitivity" sheetId="17" r:id="rId16"/>
    <sheet name="LBO_Dashboard" sheetId="18" r:id="rId17"/>
    <sheet name="Helper Table" sheetId="19" r:id="rId18"/>
  </sheets>
  <definedNames>
    <definedName name="_xlchart.v1.0" hidden="1">'Helper Table'!$A$2:$A$5</definedName>
    <definedName name="_xlchart.v1.1" hidden="1">'Helper Table'!$B$1</definedName>
    <definedName name="_xlchart.v1.10" hidden="1">'Helper Table'!$B$1</definedName>
    <definedName name="_xlchart.v1.11" hidden="1">'Helper Table'!$B$2:$B$5</definedName>
    <definedName name="_xlchart.v1.12" hidden="1">'Helper Table'!$A$2:$A$5</definedName>
    <definedName name="_xlchart.v1.13" hidden="1">'Helper Table'!$B$1</definedName>
    <definedName name="_xlchart.v1.14" hidden="1">'Helper Table'!$B$2:$B$5</definedName>
    <definedName name="_xlchart.v1.15" hidden="1">'Helper Table'!$A$2:$A$5</definedName>
    <definedName name="_xlchart.v1.16" hidden="1">'Helper Table'!$B$1</definedName>
    <definedName name="_xlchart.v1.17" hidden="1">'Helper Table'!$B$2:$B$5</definedName>
    <definedName name="_xlchart.v1.2" hidden="1">'Helper Table'!$B$2:$B$5</definedName>
    <definedName name="_xlchart.v1.3" hidden="1">'Helper Table'!$A$2:$A$5</definedName>
    <definedName name="_xlchart.v1.4" hidden="1">'Helper Table'!$B$1</definedName>
    <definedName name="_xlchart.v1.5" hidden="1">'Helper Table'!$B$2:$B$5</definedName>
    <definedName name="_xlchart.v1.6" hidden="1">'Helper Table'!$A$2:$A$5</definedName>
    <definedName name="_xlchart.v1.7" hidden="1">'Helper Table'!$B$1</definedName>
    <definedName name="_xlchart.v1.8" hidden="1">'Helper Table'!$B$2:$B$5</definedName>
    <definedName name="_xlchart.v1.9" hidden="1">'Helper Table'!$A$2:$A$5</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9" l="1"/>
  <c r="J3" i="19"/>
  <c r="K3" i="19"/>
  <c r="L3" i="19"/>
  <c r="H3" i="19"/>
  <c r="I4" i="19"/>
  <c r="J4" i="19"/>
  <c r="K4" i="19"/>
  <c r="L4" i="19"/>
  <c r="H4" i="19"/>
  <c r="Y3" i="19"/>
  <c r="Q4" i="19"/>
  <c r="Q3" i="19"/>
  <c r="I5" i="19"/>
  <c r="J5" i="19"/>
  <c r="K5" i="19"/>
  <c r="B5" i="19"/>
  <c r="B4" i="19"/>
  <c r="B3" i="19"/>
  <c r="B2" i="19"/>
  <c r="K12" i="18"/>
  <c r="K11" i="18"/>
  <c r="K9" i="18"/>
  <c r="K8" i="18"/>
  <c r="B28" i="2"/>
  <c r="D5" i="8"/>
  <c r="B18" i="6"/>
  <c r="E8" i="18"/>
  <c r="B10" i="18"/>
  <c r="B9" i="18"/>
  <c r="B8" i="18"/>
  <c r="B7" i="18"/>
  <c r="K7" i="18" s="1"/>
  <c r="J7" i="17"/>
  <c r="B25" i="3"/>
  <c r="D25" i="3" s="1"/>
  <c r="C7" i="13"/>
  <c r="I10" i="12" a="1"/>
  <c r="I10" i="12" s="1"/>
  <c r="I8" i="12" a="1"/>
  <c r="I8" i="12" s="1"/>
  <c r="F4" i="11" a="1"/>
  <c r="F4" i="11" s="1"/>
  <c r="B11" i="11"/>
  <c r="B13" i="2"/>
  <c r="B10" i="11" s="1"/>
  <c r="B12" i="11" s="1"/>
  <c r="F14" i="11" s="1"/>
  <c r="B6" i="11" a="1"/>
  <c r="B6" i="11" s="1"/>
  <c r="B7" i="11" s="1"/>
  <c r="F13" i="11" s="1"/>
  <c r="B5" i="8"/>
  <c r="B9" i="8" s="1"/>
  <c r="B8" i="10"/>
  <c r="C7" i="8"/>
  <c r="D7" i="8" s="1"/>
  <c r="E7" i="8" s="1"/>
  <c r="F7" i="8" s="1"/>
  <c r="G7" i="8" s="1"/>
  <c r="C14" i="6"/>
  <c r="D14" i="6"/>
  <c r="E14" i="6"/>
  <c r="F14" i="6"/>
  <c r="G14" i="6"/>
  <c r="B14" i="6"/>
  <c r="B9" i="5"/>
  <c r="B7" i="10" s="1"/>
  <c r="B11" i="2"/>
  <c r="B6" i="5"/>
  <c r="B23" i="2"/>
  <c r="B20" i="2"/>
  <c r="C5" i="13" s="1"/>
  <c r="C6" i="13" s="1"/>
  <c r="B19" i="2"/>
  <c r="B6" i="12" s="1"/>
  <c r="B20" i="12" s="1"/>
  <c r="B12" i="2"/>
  <c r="B15" i="4" s="1"/>
  <c r="B10" i="2"/>
  <c r="B12" i="4" s="1"/>
  <c r="B9" i="2"/>
  <c r="B9" i="4" s="1"/>
  <c r="B8" i="2"/>
  <c r="B7" i="4" s="1"/>
  <c r="C7" i="4" s="1"/>
  <c r="C12" i="1"/>
  <c r="L5" i="19" l="1"/>
  <c r="H5" i="19"/>
  <c r="Q5" i="19"/>
  <c r="B12" i="18"/>
  <c r="E7" i="15"/>
  <c r="D7" i="15"/>
  <c r="C7" i="15"/>
  <c r="B7" i="15"/>
  <c r="G7" i="15"/>
  <c r="C15" i="16"/>
  <c r="F7" i="15"/>
  <c r="C25" i="3"/>
  <c r="B21" i="2" s="1"/>
  <c r="C5" i="14"/>
  <c r="H5" i="14" s="1"/>
  <c r="C8" i="13"/>
  <c r="C11" i="13"/>
  <c r="B11" i="8"/>
  <c r="B12" i="8" s="1"/>
  <c r="B13" i="5"/>
  <c r="B14" i="10"/>
  <c r="B16" i="4"/>
  <c r="B8" i="6" s="1"/>
  <c r="C15" i="4"/>
  <c r="D15" i="4" s="1"/>
  <c r="E15" i="4" s="1"/>
  <c r="F15" i="4" s="1"/>
  <c r="G15" i="4" s="1"/>
  <c r="C12" i="4"/>
  <c r="D12" i="4" s="1"/>
  <c r="E12" i="4" s="1"/>
  <c r="F12" i="4" s="1"/>
  <c r="G12" i="4" s="1"/>
  <c r="B13" i="4"/>
  <c r="B7" i="7" s="1"/>
  <c r="B10" i="4"/>
  <c r="B8" i="5" s="1"/>
  <c r="B11" i="5" s="1"/>
  <c r="C9" i="4"/>
  <c r="D9" i="4" s="1"/>
  <c r="E9" i="4" s="1"/>
  <c r="F9" i="4" s="1"/>
  <c r="G9" i="4" s="1"/>
  <c r="C6" i="4"/>
  <c r="D7" i="4"/>
  <c r="E7" i="4" s="1"/>
  <c r="F7" i="4" s="1"/>
  <c r="G7" i="4" s="1"/>
  <c r="B29" i="2"/>
  <c r="C10" i="14" l="1"/>
  <c r="C12" i="16" s="1"/>
  <c r="E7" i="18"/>
  <c r="C6" i="14"/>
  <c r="B5" i="15"/>
  <c r="C12" i="13"/>
  <c r="B16" i="10"/>
  <c r="C5" i="8"/>
  <c r="B9" i="7"/>
  <c r="C5" i="7" s="1"/>
  <c r="B11" i="10"/>
  <c r="B12" i="10" s="1"/>
  <c r="B15" i="5"/>
  <c r="B17" i="5" s="1"/>
  <c r="B19" i="5" s="1"/>
  <c r="C6" i="5"/>
  <c r="C13" i="4"/>
  <c r="C7" i="7" s="1"/>
  <c r="C11" i="10" s="1"/>
  <c r="C12" i="10" s="1"/>
  <c r="D6" i="4"/>
  <c r="C16" i="4"/>
  <c r="C10" i="4"/>
  <c r="C7" i="14" l="1"/>
  <c r="H6" i="14" s="1"/>
  <c r="B11" i="18"/>
  <c r="C13" i="13"/>
  <c r="C15" i="13" s="1"/>
  <c r="B19" i="6"/>
  <c r="B23" i="6" s="1"/>
  <c r="F5" i="11"/>
  <c r="F6" i="11" s="1"/>
  <c r="C9" i="8"/>
  <c r="C13" i="5" s="1"/>
  <c r="B12" i="6"/>
  <c r="C22" i="6"/>
  <c r="B6" i="10"/>
  <c r="B9" i="10" s="1"/>
  <c r="B17" i="10" s="1"/>
  <c r="C17" i="4"/>
  <c r="C8" i="10" s="1"/>
  <c r="C8" i="6"/>
  <c r="C8" i="7"/>
  <c r="C9" i="5" s="1"/>
  <c r="C7" i="10" s="1"/>
  <c r="D6" i="5"/>
  <c r="C8" i="5"/>
  <c r="E6" i="4"/>
  <c r="D13" i="4"/>
  <c r="D7" i="7" s="1"/>
  <c r="D11" i="10" s="1"/>
  <c r="D12" i="10" s="1"/>
  <c r="D16" i="4"/>
  <c r="D10" i="4"/>
  <c r="F8" i="11" l="1"/>
  <c r="F16" i="11" s="1"/>
  <c r="F7" i="11"/>
  <c r="B15" i="6"/>
  <c r="B7" i="6"/>
  <c r="I6" i="12" s="1"/>
  <c r="C19" i="4"/>
  <c r="C14" i="10"/>
  <c r="C11" i="5"/>
  <c r="C15" i="5" s="1"/>
  <c r="C17" i="5" s="1"/>
  <c r="C19" i="5" s="1"/>
  <c r="D17" i="4"/>
  <c r="D8" i="10" s="1"/>
  <c r="D8" i="6"/>
  <c r="C9" i="7"/>
  <c r="E6" i="5"/>
  <c r="D8" i="5"/>
  <c r="F6" i="4"/>
  <c r="E13" i="4"/>
  <c r="E7" i="7" s="1"/>
  <c r="E11" i="10" s="1"/>
  <c r="E12" i="10" s="1"/>
  <c r="E16" i="4"/>
  <c r="E10" i="4"/>
  <c r="B15" i="11" l="1"/>
  <c r="F15" i="11"/>
  <c r="D19" i="4"/>
  <c r="D22" i="6"/>
  <c r="C6" i="10"/>
  <c r="E17" i="4"/>
  <c r="E8" i="10" s="1"/>
  <c r="E8" i="6"/>
  <c r="C12" i="6"/>
  <c r="C15" i="6" s="1"/>
  <c r="D5" i="7"/>
  <c r="D8" i="7" s="1"/>
  <c r="F6" i="5"/>
  <c r="E8" i="5"/>
  <c r="G6" i="4"/>
  <c r="F16" i="4"/>
  <c r="F10" i="4"/>
  <c r="F8" i="5" s="1"/>
  <c r="F13" i="4"/>
  <c r="F7" i="7" s="1"/>
  <c r="F11" i="10" s="1"/>
  <c r="F12" i="10" s="1"/>
  <c r="B5" i="12" l="1"/>
  <c r="B15" i="3"/>
  <c r="B18" i="2" s="1"/>
  <c r="F17" i="11" s="1"/>
  <c r="C9" i="10"/>
  <c r="B13" i="12"/>
  <c r="E19" i="4"/>
  <c r="F17" i="4"/>
  <c r="F8" i="10" s="1"/>
  <c r="F8" i="6"/>
  <c r="D9" i="7"/>
  <c r="D9" i="5"/>
  <c r="G6" i="5"/>
  <c r="G16" i="4"/>
  <c r="G10" i="4"/>
  <c r="G8" i="5" s="1"/>
  <c r="C11" i="14" s="1"/>
  <c r="C12" i="14" s="1"/>
  <c r="H7" i="14" s="1"/>
  <c r="G13" i="4"/>
  <c r="G7" i="7" s="1"/>
  <c r="G11" i="10" s="1"/>
  <c r="G12" i="10" s="1"/>
  <c r="C10" i="16" l="1"/>
  <c r="E9" i="18"/>
  <c r="F19" i="4"/>
  <c r="B14" i="12"/>
  <c r="B15" i="12" s="1"/>
  <c r="F14" i="12"/>
  <c r="D14" i="12"/>
  <c r="E14" i="12"/>
  <c r="C14" i="12"/>
  <c r="D11" i="5"/>
  <c r="D7" i="10"/>
  <c r="E5" i="7"/>
  <c r="E8" i="7" s="1"/>
  <c r="D12" i="6"/>
  <c r="D15" i="6" s="1"/>
  <c r="G17" i="4"/>
  <c r="G8" i="10" s="1"/>
  <c r="G8" i="6"/>
  <c r="G19" i="4" l="1"/>
  <c r="E9" i="7"/>
  <c r="E9" i="5"/>
  <c r="E11" i="5" l="1"/>
  <c r="E7" i="10"/>
  <c r="F5" i="7"/>
  <c r="F8" i="7" s="1"/>
  <c r="E12" i="6"/>
  <c r="E15" i="6" s="1"/>
  <c r="F9" i="7" l="1"/>
  <c r="F9" i="5"/>
  <c r="F11" i="5" l="1"/>
  <c r="F7" i="10"/>
  <c r="G5" i="7"/>
  <c r="G8" i="7" s="1"/>
  <c r="F12" i="6"/>
  <c r="F15" i="6" s="1"/>
  <c r="G9" i="7" l="1"/>
  <c r="G12" i="6" s="1"/>
  <c r="G15" i="6" s="1"/>
  <c r="G9" i="5"/>
  <c r="G11" i="5" l="1"/>
  <c r="G7" i="10"/>
  <c r="B9" i="6" l="1"/>
  <c r="B16" i="6" s="1"/>
  <c r="B19" i="10"/>
  <c r="C18" i="10" l="1"/>
  <c r="B9" i="15"/>
  <c r="B10" i="15" s="1"/>
  <c r="B11" i="15" s="1"/>
  <c r="C5" i="15" s="1"/>
  <c r="B10" i="8"/>
  <c r="D9" i="8"/>
  <c r="D14" i="10" s="1"/>
  <c r="D13" i="5"/>
  <c r="D15" i="5" s="1"/>
  <c r="D17" i="5" l="1"/>
  <c r="D19" i="5" s="1"/>
  <c r="E22" i="6" l="1"/>
  <c r="D6" i="10"/>
  <c r="C13" i="12" l="1"/>
  <c r="D9" i="10"/>
  <c r="C15" i="12" l="1"/>
  <c r="C17" i="14" l="1"/>
  <c r="H7" i="18" s="1"/>
  <c r="K10" i="18" s="1"/>
  <c r="D16" i="10"/>
  <c r="D17" i="10" s="1"/>
  <c r="C16" i="10"/>
  <c r="C17" i="10" s="1"/>
  <c r="C19" i="10" s="1"/>
  <c r="D18" i="10" l="1"/>
  <c r="D19" i="10" s="1"/>
  <c r="C9" i="15"/>
  <c r="C10" i="15" s="1"/>
  <c r="C11" i="15" s="1"/>
  <c r="C10" i="8"/>
  <c r="C11" i="8" s="1"/>
  <c r="C12" i="8" s="1"/>
  <c r="C18" i="6" s="1"/>
  <c r="C19" i="6" s="1"/>
  <c r="C23" i="6" s="1"/>
  <c r="C7" i="6" s="1"/>
  <c r="C9" i="6" s="1"/>
  <c r="C16" i="6" s="1"/>
  <c r="E18" i="10" l="1"/>
  <c r="D10" i="8"/>
  <c r="D11" i="8" s="1"/>
  <c r="D12" i="8" s="1"/>
  <c r="D9" i="15"/>
  <c r="D5" i="15"/>
  <c r="C8" i="15"/>
  <c r="D18" i="6" l="1"/>
  <c r="D19" i="6" s="1"/>
  <c r="D23" i="6" s="1"/>
  <c r="D7" i="6" s="1"/>
  <c r="D9" i="6" s="1"/>
  <c r="D16" i="6" s="1"/>
  <c r="E5" i="8"/>
  <c r="E9" i="8" s="1"/>
  <c r="D10" i="15"/>
  <c r="D11" i="15" s="1"/>
  <c r="E14" i="10" l="1"/>
  <c r="E16" i="10" s="1"/>
  <c r="E13" i="5"/>
  <c r="E15" i="5" s="1"/>
  <c r="E17" i="5" s="1"/>
  <c r="E19" i="5" s="1"/>
  <c r="E5" i="15"/>
  <c r="D8" i="15"/>
  <c r="F22" i="6" l="1"/>
  <c r="E6" i="10"/>
  <c r="E9" i="10" l="1"/>
  <c r="E17" i="10" s="1"/>
  <c r="E19" i="10" s="1"/>
  <c r="D13" i="12"/>
  <c r="D15" i="12" s="1"/>
  <c r="E9" i="15" l="1"/>
  <c r="E10" i="15" s="1"/>
  <c r="E11" i="15" s="1"/>
  <c r="F18" i="10"/>
  <c r="E10" i="8"/>
  <c r="E11" i="8" s="1"/>
  <c r="E12" i="8" s="1"/>
  <c r="E18" i="6" l="1"/>
  <c r="E19" i="6" s="1"/>
  <c r="E23" i="6" s="1"/>
  <c r="E7" i="6" s="1"/>
  <c r="E9" i="6" s="1"/>
  <c r="E16" i="6" s="1"/>
  <c r="F5" i="8"/>
  <c r="F9" i="8" s="1"/>
  <c r="F5" i="15"/>
  <c r="C13" i="14" a="1"/>
  <c r="C13" i="14" s="1"/>
  <c r="E8" i="15"/>
  <c r="E10" i="18" l="1"/>
  <c r="C14" i="14"/>
  <c r="F13" i="5"/>
  <c r="F15" i="5" s="1"/>
  <c r="F17" i="5" s="1"/>
  <c r="F19" i="5" s="1"/>
  <c r="F14" i="10"/>
  <c r="F16" i="10" s="1"/>
  <c r="F6" i="10" l="1"/>
  <c r="G22" i="6"/>
  <c r="E11" i="18"/>
  <c r="C11" i="16"/>
  <c r="C18" i="14"/>
  <c r="H8" i="14"/>
  <c r="H8" i="18" l="1"/>
  <c r="C19" i="14"/>
  <c r="H9" i="14"/>
  <c r="E13" i="12"/>
  <c r="E15" i="12" s="1"/>
  <c r="F9" i="10"/>
  <c r="F17" i="10" s="1"/>
  <c r="F19" i="10" s="1"/>
  <c r="G18" i="10" l="1"/>
  <c r="F9" i="15"/>
  <c r="F10" i="15" s="1"/>
  <c r="F11" i="15" s="1"/>
  <c r="F10" i="8"/>
  <c r="F11" i="8" s="1"/>
  <c r="F12" i="8" s="1"/>
  <c r="H10" i="14"/>
  <c r="A4" i="17"/>
  <c r="H9" i="18"/>
  <c r="F18" i="6" l="1"/>
  <c r="F19" i="6" s="1"/>
  <c r="F23" i="6" s="1"/>
  <c r="F7" i="6" s="1"/>
  <c r="F9" i="6" s="1"/>
  <c r="F16" i="6" s="1"/>
  <c r="G5" i="8"/>
  <c r="G9" i="8" s="1"/>
  <c r="F8" i="15"/>
  <c r="G5" i="15"/>
  <c r="G13" i="5"/>
  <c r="G15" i="5" s="1"/>
  <c r="G14" i="10"/>
  <c r="G16" i="10" s="1"/>
  <c r="G17" i="5" l="1"/>
  <c r="G19" i="5" s="1"/>
  <c r="G6" i="10" s="1"/>
  <c r="F13" i="12" l="1"/>
  <c r="G9" i="10"/>
  <c r="G17" i="10" s="1"/>
  <c r="G19" i="10" s="1"/>
  <c r="G9" i="15" l="1"/>
  <c r="G10" i="15" s="1"/>
  <c r="G11" i="15" s="1"/>
  <c r="G8" i="15" s="1"/>
  <c r="G10" i="8"/>
  <c r="G11" i="8" s="1"/>
  <c r="G12" i="8" s="1"/>
  <c r="B21" i="12"/>
  <c r="B22" i="12" s="1"/>
  <c r="F15" i="12"/>
  <c r="B16" i="12"/>
  <c r="G18" i="6" l="1"/>
  <c r="G19" i="6" s="1"/>
  <c r="G23" i="6" s="1"/>
  <c r="G7" i="6" s="1"/>
  <c r="G9" i="6" s="1"/>
  <c r="G16" i="6" s="1"/>
  <c r="I21" i="12"/>
  <c r="B23" i="12"/>
  <c r="I5" i="12" s="1"/>
  <c r="I7" i="12" l="1"/>
  <c r="I22" i="12"/>
  <c r="C5" i="16"/>
  <c r="I20" i="12"/>
  <c r="C16" i="16" l="1"/>
  <c r="C17" i="16"/>
  <c r="C6" i="16"/>
  <c r="I9" i="12"/>
  <c r="I11" i="12" l="1"/>
  <c r="C7" i="1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2">
    <bk>
      <extLst>
        <ext uri="{3e2802c4-a4d2-4d8b-9148-e3be6c30e623}">
          <xlrd:rvb i="0"/>
        </ext>
      </extLst>
    </bk>
    <bk>
      <extLst>
        <ext uri="{3e2802c4-a4d2-4d8b-9148-e3be6c30e623}">
          <xlrd:rvb i="3"/>
        </ext>
      </extLst>
    </bk>
  </futureMetadata>
  <futureMetadata name="XLDAPR" count="1">
    <bk>
      <extLst>
        <ext uri="{bdbb8cdc-fa1e-496e-a857-3c3f30c029c3}">
          <xda:dynamicArrayProperties fDynamic="1" fCollapsed="0"/>
        </ext>
      </extLst>
    </bk>
  </futureMetadata>
  <cellMetadata count="1">
    <bk>
      <rc t="2" v="0"/>
    </bk>
  </cellMetadata>
  <valueMetadata count="2">
    <bk>
      <rc t="1" v="0"/>
    </bk>
    <bk>
      <rc t="1" v="1"/>
    </bk>
  </valueMetadata>
</metadata>
</file>

<file path=xl/sharedStrings.xml><?xml version="1.0" encoding="utf-8"?>
<sst xmlns="http://schemas.openxmlformats.org/spreadsheetml/2006/main" count="373" uniqueCount="222">
  <si>
    <t>LBO + DCF Returns Framework</t>
  </si>
  <si>
    <t>Case Company</t>
  </si>
  <si>
    <t>Version: v1.0</t>
  </si>
  <si>
    <t>Date:</t>
  </si>
  <si>
    <t>An capital structure &amp; valuation model</t>
  </si>
  <si>
    <t>For educational and analytical purposes only. Not an investment recommendation.</t>
  </si>
  <si>
    <r>
      <t xml:space="preserve">Built by: </t>
    </r>
    <r>
      <rPr>
        <b/>
        <sz val="11"/>
        <color theme="6" tint="-0.499984740745262"/>
        <rFont val="Calibri"/>
        <family val="2"/>
        <scheme val="minor"/>
      </rPr>
      <t xml:space="preserve">Akshat Gupta </t>
    </r>
    <r>
      <rPr>
        <sz val="11"/>
        <color theme="6" tint="-0.499984740745262"/>
        <rFont val="Calibri"/>
        <family val="2"/>
        <scheme val="minor"/>
      </rPr>
      <t>| Aurex Research</t>
    </r>
  </si>
  <si>
    <t>Scenario</t>
  </si>
  <si>
    <t>Base</t>
  </si>
  <si>
    <t>Revenue Growth</t>
  </si>
  <si>
    <t>EBITDA Margin</t>
  </si>
  <si>
    <t>Capex % of Revenue</t>
  </si>
  <si>
    <t>WC as % of Revenue</t>
  </si>
  <si>
    <t>Operating Scenario Inputs</t>
  </si>
  <si>
    <t>Valuation &amp; Deal Inputs</t>
  </si>
  <si>
    <t>WACC</t>
  </si>
  <si>
    <t>Terminal Growth</t>
  </si>
  <si>
    <t>Entry EV/EBITDA</t>
  </si>
  <si>
    <t>Exit EV/EBITDA</t>
  </si>
  <si>
    <t>Key Outputs Snapshot</t>
  </si>
  <si>
    <t>Intrinsic EV (DCF)</t>
  </si>
  <si>
    <t>Entry EV</t>
  </si>
  <si>
    <t>Equity Invested</t>
  </si>
  <si>
    <t>Exit Equity Value</t>
  </si>
  <si>
    <t>Equity IRR</t>
  </si>
  <si>
    <t>MOIC</t>
  </si>
  <si>
    <t>Control Panel</t>
  </si>
  <si>
    <t>Assumption</t>
  </si>
  <si>
    <t>Upside</t>
  </si>
  <si>
    <t>Downside</t>
  </si>
  <si>
    <t>WC % of Revenue</t>
  </si>
  <si>
    <t>Operating Drivers</t>
  </si>
  <si>
    <t>Valuation Drivers</t>
  </si>
  <si>
    <t>Transaction / LBO Drivers</t>
  </si>
  <si>
    <t>Target Debt % of EV</t>
  </si>
  <si>
    <t>Fees % of EV</t>
  </si>
  <si>
    <t>FY2025A</t>
  </si>
  <si>
    <t>FY2026E</t>
  </si>
  <si>
    <t>FY2027E</t>
  </si>
  <si>
    <t>FY2028E</t>
  </si>
  <si>
    <t>FY2029E</t>
  </si>
  <si>
    <t>FY2030E</t>
  </si>
  <si>
    <t>Revenue</t>
  </si>
  <si>
    <t>Revenue Growth %</t>
  </si>
  <si>
    <t>EBITDA</t>
  </si>
  <si>
    <t>Capex</t>
  </si>
  <si>
    <t>Working Capital</t>
  </si>
  <si>
    <t>Change in WC</t>
  </si>
  <si>
    <t>Cash Proxy</t>
  </si>
  <si>
    <t>Scenario Assumptions</t>
  </si>
  <si>
    <t>Income Statement</t>
  </si>
  <si>
    <t>Revenue &amp; EBITDA</t>
  </si>
  <si>
    <t>Depreciation</t>
  </si>
  <si>
    <t>Depreciation % of Revenue</t>
  </si>
  <si>
    <t>EBIT</t>
  </si>
  <si>
    <t>Interest Expense</t>
  </si>
  <si>
    <t>EBT</t>
  </si>
  <si>
    <t>Taxes</t>
  </si>
  <si>
    <t>Tax Rate</t>
  </si>
  <si>
    <t>Net Income</t>
  </si>
  <si>
    <t>Rs Crores</t>
  </si>
  <si>
    <t>Balance Sheet</t>
  </si>
  <si>
    <t>ASSETS</t>
  </si>
  <si>
    <t>Current Assets</t>
  </si>
  <si>
    <t>Cash</t>
  </si>
  <si>
    <t>Net Working Capital</t>
  </si>
  <si>
    <t>Total Current Assets</t>
  </si>
  <si>
    <t>Non-current Assets</t>
  </si>
  <si>
    <t>Net PPE</t>
  </si>
  <si>
    <t>Capex &amp; Depreciation</t>
  </si>
  <si>
    <t>Opening Net PPE</t>
  </si>
  <si>
    <t>Closing Net PPE</t>
  </si>
  <si>
    <t>Other Assets</t>
  </si>
  <si>
    <t>Total Non-current assets</t>
  </si>
  <si>
    <t>Total Assets</t>
  </si>
  <si>
    <t>Long-term Debt</t>
  </si>
  <si>
    <t>Total Liabilities</t>
  </si>
  <si>
    <t>Share Capital</t>
  </si>
  <si>
    <t>Retained Earnings</t>
  </si>
  <si>
    <t>Total Equity &amp; Liabilities</t>
  </si>
  <si>
    <t>Other Intangible Assets</t>
  </si>
  <si>
    <t>Debt &amp; Interest Schedule</t>
  </si>
  <si>
    <t>Opening Debt</t>
  </si>
  <si>
    <t>Interest Rate</t>
  </si>
  <si>
    <t>Cost of Debt</t>
  </si>
  <si>
    <t>Cash Available for Debt Repayment</t>
  </si>
  <si>
    <t>Debt Repayment</t>
  </si>
  <si>
    <t>Closing Debt</t>
  </si>
  <si>
    <t>Cash Flow Statement</t>
  </si>
  <si>
    <t>Change in Working Capital</t>
  </si>
  <si>
    <t>Cash flow from Operations</t>
  </si>
  <si>
    <t>Investing Activities</t>
  </si>
  <si>
    <t>Operating Activities</t>
  </si>
  <si>
    <t xml:space="preserve">Cash flow from Investing </t>
  </si>
  <si>
    <t>Financing Activities</t>
  </si>
  <si>
    <t>Interest Paid</t>
  </si>
  <si>
    <t>Cash flow from Financing Activities</t>
  </si>
  <si>
    <t>Opening Cash</t>
  </si>
  <si>
    <t>Closing Cash</t>
  </si>
  <si>
    <t>Net Cash</t>
  </si>
  <si>
    <t>New Borrowings</t>
  </si>
  <si>
    <t>Market Assumptions</t>
  </si>
  <si>
    <t>Risk-Free Rate</t>
  </si>
  <si>
    <t>Equity Risk Premium</t>
  </si>
  <si>
    <t>Beta</t>
  </si>
  <si>
    <t>Cost of Equity</t>
  </si>
  <si>
    <t>Pre-Tax Cost of Debt</t>
  </si>
  <si>
    <t>Tax rate</t>
  </si>
  <si>
    <t>After-tax Cost of Debt</t>
  </si>
  <si>
    <t>Capital Structure</t>
  </si>
  <si>
    <t>Market value of Equity</t>
  </si>
  <si>
    <t>Market value of Debt</t>
  </si>
  <si>
    <t>Total Capital</t>
  </si>
  <si>
    <t>Weight of Equity</t>
  </si>
  <si>
    <t>Weight of Debt</t>
  </si>
  <si>
    <t>WACC Summary</t>
  </si>
  <si>
    <t>WACC Breakdown</t>
  </si>
  <si>
    <t>Component</t>
  </si>
  <si>
    <t>Value</t>
  </si>
  <si>
    <t>Equity Weight</t>
  </si>
  <si>
    <t>Debt Weight</t>
  </si>
  <si>
    <t>Free Cash Flow to Firm (FCFF)</t>
  </si>
  <si>
    <t>Terminal FCFF</t>
  </si>
  <si>
    <t>Terminal Value</t>
  </si>
  <si>
    <t>PV of Terminal Value</t>
  </si>
  <si>
    <t>Enterprise Value</t>
  </si>
  <si>
    <t>Less: Net Debt</t>
  </si>
  <si>
    <t>Equity Value</t>
  </si>
  <si>
    <t>Shares Outstanding</t>
  </si>
  <si>
    <t>Upside / (Downside)</t>
  </si>
  <si>
    <t>DCF Valuation - FCFF Based</t>
  </si>
  <si>
    <t>All figures in Rs Cr unless stated</t>
  </si>
  <si>
    <t>Assumptions Box</t>
  </si>
  <si>
    <t>Terminal g</t>
  </si>
  <si>
    <t>Forecast Years</t>
  </si>
  <si>
    <t>Valuation Year</t>
  </si>
  <si>
    <t>Discount Factor</t>
  </si>
  <si>
    <t>PV of FCFF</t>
  </si>
  <si>
    <t>FCFF &amp; PV Table</t>
  </si>
  <si>
    <t>Particulars</t>
  </si>
  <si>
    <t>Terminal Value Block</t>
  </si>
  <si>
    <t>Valuation Summary Box</t>
  </si>
  <si>
    <t>Sum of PV</t>
  </si>
  <si>
    <t>Intrinsic Value / Share</t>
  </si>
  <si>
    <t>Current Market Price</t>
  </si>
  <si>
    <t>Sanity Check Box</t>
  </si>
  <si>
    <t>Terminal Value % of EV</t>
  </si>
  <si>
    <t>Discounting check</t>
  </si>
  <si>
    <t>EV Rebuilt Check</t>
  </si>
  <si>
    <t>LBO Entry - Sources &amp; Uses</t>
  </si>
  <si>
    <t>Uses</t>
  </si>
  <si>
    <t>Plus: Transaction Fees (%)</t>
  </si>
  <si>
    <t>Fee % of EV</t>
  </si>
  <si>
    <t>Plus: Refinancing Existing Debt</t>
  </si>
  <si>
    <t>Total Uses</t>
  </si>
  <si>
    <t>Sources</t>
  </si>
  <si>
    <t>New Debt Raised</t>
  </si>
  <si>
    <t>Sponsor Equity Invested (Plug)</t>
  </si>
  <si>
    <t>Total Sources</t>
  </si>
  <si>
    <t>Sources - Uses Check</t>
  </si>
  <si>
    <t>LBO Equity Returns &amp; Exit Analysis</t>
  </si>
  <si>
    <t>Entry</t>
  </si>
  <si>
    <t>Entry Net Debt</t>
  </si>
  <si>
    <t>Entry Equity Invested</t>
  </si>
  <si>
    <t>Exit</t>
  </si>
  <si>
    <t>Exit EV/EBITDA Multiple</t>
  </si>
  <si>
    <t>Exit EBITDA</t>
  </si>
  <si>
    <t>Exit EV</t>
  </si>
  <si>
    <t>Less: Net Debt at Exit</t>
  </si>
  <si>
    <t>Returns</t>
  </si>
  <si>
    <t>Holding Period (Years)</t>
  </si>
  <si>
    <t>MOIC (x)</t>
  </si>
  <si>
    <t>Deal Snapshot</t>
  </si>
  <si>
    <t>Entry Equity</t>
  </si>
  <si>
    <t>Exit Equity</t>
  </si>
  <si>
    <t>IRR</t>
  </si>
  <si>
    <t>LBO Debt Schedule</t>
  </si>
  <si>
    <t>Cash Available for Repayment</t>
  </si>
  <si>
    <t>Debt Payment</t>
  </si>
  <si>
    <t>DCF vs LBO Exit Comparison</t>
  </si>
  <si>
    <t>DCF Valuation</t>
  </si>
  <si>
    <t>DCF Equity Value</t>
  </si>
  <si>
    <t>DCF Value / Share</t>
  </si>
  <si>
    <t>LBO Exit</t>
  </si>
  <si>
    <t>Exit EV (from multiple)</t>
  </si>
  <si>
    <t>Comparison</t>
  </si>
  <si>
    <t>Premium / (Discount) to DCF EV</t>
  </si>
  <si>
    <t>Exit EV vs DCF EV</t>
  </si>
  <si>
    <t>Interpretation</t>
  </si>
  <si>
    <t>Compares entry and exit valuation against intrinsic DCF value to assess
whether returns are driven by buying below intrinsic value, leverage,
operational improvement, or exit multiple expansion.</t>
  </si>
  <si>
    <t>Equity IRR Sensitivity - Exit Multiple vs Holding Period</t>
  </si>
  <si>
    <t>Holding Period</t>
  </si>
  <si>
    <t>LBO Transaction Summary Dashboard</t>
  </si>
  <si>
    <t>Entry Snapshot</t>
  </si>
  <si>
    <t>Entry EBITDA</t>
  </si>
  <si>
    <t>Debt/EV</t>
  </si>
  <si>
    <t>Exit Snapshot</t>
  </si>
  <si>
    <t>Exit Net Debt</t>
  </si>
  <si>
    <t>Holding Period (yrs)</t>
  </si>
  <si>
    <t>Key Assumptions</t>
  </si>
  <si>
    <t>Target Debt %</t>
  </si>
  <si>
    <t>Exit Multiple</t>
  </si>
  <si>
    <t>Fees %</t>
  </si>
  <si>
    <t>Equity Bridge</t>
  </si>
  <si>
    <t>Entry Equity Value</t>
  </si>
  <si>
    <t>Deleveraging (Debt Paydown)</t>
  </si>
  <si>
    <t>Operational Value Creation</t>
  </si>
  <si>
    <t>Aurex Research | Akshat Gupta</t>
  </si>
  <si>
    <t>Debt Paydown</t>
  </si>
  <si>
    <t>Year</t>
  </si>
  <si>
    <t>Debt Balance</t>
  </si>
  <si>
    <t>Debt/EBITDA</t>
  </si>
  <si>
    <t>Funding Mix Chart</t>
  </si>
  <si>
    <t>Source</t>
  </si>
  <si>
    <t>Amount</t>
  </si>
  <si>
    <t>Debt</t>
  </si>
  <si>
    <t>Equity</t>
  </si>
  <si>
    <t>Total</t>
  </si>
  <si>
    <t>Main Visuals</t>
  </si>
  <si>
    <t>Supporting Visuals</t>
  </si>
  <si>
    <t>EBITDA Trend Growth</t>
  </si>
  <si>
    <t>Entry (FY2025)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</si>
</sst>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F800]dddd\,\ mmmm\ dd\,\ yyyy"/>
    <numFmt numFmtId="165" formatCode="0.0%"/>
  </numFmts>
  <fonts count="31"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rgb="FF002060"/>
      <name val="Calibri"/>
      <family val="2"/>
      <scheme val="minor"/>
    </font>
    <font>
      <b/>
      <sz val="24"/>
      <color theme="0"/>
      <name val="Calibri"/>
      <family val="2"/>
      <scheme val="minor"/>
    </font>
    <font>
      <i/>
      <sz val="11"/>
      <color theme="6" tint="-0.499984740745262"/>
      <name val="Calibri"/>
      <family val="2"/>
      <scheme val="minor"/>
    </font>
    <font>
      <sz val="11"/>
      <color theme="6" tint="-0.499984740745262"/>
      <name val="Calibri"/>
      <family val="2"/>
      <scheme val="minor"/>
    </font>
    <font>
      <b/>
      <sz val="11"/>
      <color theme="6" tint="-0.499984740745262"/>
      <name val="Calibri"/>
      <family val="2"/>
      <scheme val="minor"/>
    </font>
    <font>
      <i/>
      <sz val="11"/>
      <color theme="2" tint="-0.89999084444715716"/>
      <name val="Calibri"/>
      <family val="2"/>
      <scheme val="minor"/>
    </font>
    <font>
      <b/>
      <sz val="11"/>
      <color theme="8"/>
      <name val="Calibri"/>
      <family val="2"/>
      <scheme val="minor"/>
    </font>
    <font>
      <b/>
      <sz val="16"/>
      <color theme="0"/>
      <name val="Calibri"/>
      <family val="2"/>
      <scheme val="minor"/>
    </font>
    <font>
      <sz val="11"/>
      <color rgb="FF009C21"/>
      <name val="Calibri"/>
      <family val="2"/>
      <scheme val="minor"/>
    </font>
    <font>
      <b/>
      <sz val="18"/>
      <color theme="0"/>
      <name val="Calibri"/>
      <family val="2"/>
      <scheme val="minor"/>
    </font>
    <font>
      <b/>
      <sz val="11"/>
      <color theme="2" tint="-0.89999084444715716"/>
      <name val="Calibri"/>
      <family val="2"/>
      <scheme val="minor"/>
    </font>
    <font>
      <b/>
      <sz val="11"/>
      <color rgb="FF009C21"/>
      <name val="Calibri"/>
      <family val="2"/>
      <scheme val="minor"/>
    </font>
    <font>
      <b/>
      <sz val="20"/>
      <color theme="1"/>
      <name val="Calibri"/>
      <family val="2"/>
      <scheme val="minor"/>
    </font>
    <font>
      <b/>
      <sz val="20"/>
      <color theme="0"/>
      <name val="Calibri"/>
      <family val="2"/>
      <scheme val="minor"/>
    </font>
    <font>
      <sz val="11"/>
      <color theme="8"/>
      <name val="Calibri"/>
      <family val="2"/>
      <scheme val="minor"/>
    </font>
    <font>
      <sz val="11"/>
      <color theme="2" tint="-0.749992370372631"/>
      <name val="Calibri"/>
      <family val="2"/>
      <scheme val="minor"/>
    </font>
    <font>
      <b/>
      <sz val="11"/>
      <color theme="2" tint="-0.749992370372631"/>
      <name val="Calibri"/>
      <family val="2"/>
      <scheme val="minor"/>
    </font>
    <font>
      <sz val="11"/>
      <color theme="0"/>
      <name val="Calibri"/>
      <family val="2"/>
      <scheme val="minor"/>
    </font>
    <font>
      <sz val="14"/>
      <color theme="1"/>
      <name val="Calibri"/>
      <family val="2"/>
      <scheme val="minor"/>
    </font>
    <font>
      <b/>
      <sz val="16"/>
      <color theme="1"/>
      <name val="Calibri"/>
      <family val="2"/>
      <scheme val="minor"/>
    </font>
    <font>
      <sz val="10"/>
      <color theme="6" tint="-0.499984740745262"/>
      <name val="Calibri"/>
      <family val="2"/>
      <scheme val="minor"/>
    </font>
    <font>
      <b/>
      <sz val="14"/>
      <color theme="1"/>
      <name val="Calibri"/>
      <family val="2"/>
      <scheme val="minor"/>
    </font>
    <font>
      <sz val="8"/>
      <name val="Calibri"/>
      <family val="2"/>
      <scheme val="minor"/>
    </font>
    <font>
      <b/>
      <i/>
      <sz val="11"/>
      <color theme="1"/>
      <name val="Calibri"/>
      <family val="2"/>
      <scheme val="minor"/>
    </font>
    <font>
      <b/>
      <sz val="12"/>
      <color theme="0"/>
      <name val="Calibri"/>
      <family val="2"/>
      <scheme val="minor"/>
    </font>
    <font>
      <b/>
      <sz val="14"/>
      <color theme="0"/>
      <name val="Calibri"/>
      <family val="2"/>
      <scheme val="minor"/>
    </font>
    <font>
      <sz val="12"/>
      <color theme="1"/>
      <name val="Calibri"/>
      <family val="2"/>
      <scheme val="minor"/>
    </font>
  </fonts>
  <fills count="22">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theme="6" tint="-0.499984740745262"/>
        <bgColor indexed="64"/>
      </patternFill>
    </fill>
    <fill>
      <patternFill patternType="solid">
        <fgColor theme="1"/>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2"/>
        <bgColor indexed="64"/>
      </patternFill>
    </fill>
    <fill>
      <patternFill patternType="solid">
        <fgColor theme="6" tint="-0.249977111117893"/>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rgb="FFFFCCCC"/>
        <bgColor indexed="64"/>
      </patternFill>
    </fill>
    <fill>
      <patternFill patternType="solid">
        <fgColor theme="9" tint="0.79998168889431442"/>
        <bgColor indexed="64"/>
      </patternFill>
    </fill>
    <fill>
      <patternFill patternType="solid">
        <fgColor theme="0"/>
        <bgColor indexed="64"/>
      </patternFill>
    </fill>
    <fill>
      <patternFill patternType="solid">
        <fgColor rgb="FF00206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8" tint="-0.499984740745262"/>
        <bgColor indexed="64"/>
      </patternFill>
    </fill>
    <fill>
      <patternFill patternType="solid">
        <fgColor theme="8"/>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right/>
      <top/>
      <bottom style="thin">
        <color indexed="64"/>
      </bottom>
      <diagonal/>
    </border>
    <border>
      <left/>
      <right style="thin">
        <color indexed="64"/>
      </right>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421">
    <xf numFmtId="0" fontId="0" fillId="0" borderId="0" xfId="0"/>
    <xf numFmtId="0" fontId="0" fillId="0" borderId="0" xfId="0" applyAlignment="1">
      <alignment vertical="center"/>
    </xf>
    <xf numFmtId="0" fontId="0" fillId="0" borderId="0" xfId="0" applyAlignment="1">
      <alignment horizontal="center" vertical="center"/>
    </xf>
    <xf numFmtId="0" fontId="0" fillId="3" borderId="6" xfId="0" applyFill="1" applyBorder="1" applyAlignment="1">
      <alignment vertical="center"/>
    </xf>
    <xf numFmtId="0" fontId="7" fillId="3" borderId="0" xfId="0" applyFont="1" applyFill="1" applyAlignment="1">
      <alignment vertical="center"/>
    </xf>
    <xf numFmtId="164" fontId="7" fillId="3" borderId="0" xfId="0" applyNumberFormat="1" applyFont="1" applyFill="1" applyAlignment="1">
      <alignment vertical="center"/>
    </xf>
    <xf numFmtId="0" fontId="3" fillId="8" borderId="6" xfId="0" applyFont="1" applyFill="1" applyBorder="1" applyAlignment="1">
      <alignment vertical="center"/>
    </xf>
    <xf numFmtId="0" fontId="3" fillId="8" borderId="9" xfId="0" applyFont="1" applyFill="1" applyBorder="1" applyAlignment="1">
      <alignment horizontal="center" vertical="center"/>
    </xf>
    <xf numFmtId="0" fontId="3" fillId="8" borderId="7" xfId="0" applyFont="1" applyFill="1" applyBorder="1" applyAlignment="1">
      <alignment horizontal="center" vertical="center"/>
    </xf>
    <xf numFmtId="0" fontId="0" fillId="3" borderId="8" xfId="0" applyFill="1" applyBorder="1" applyAlignment="1">
      <alignment vertical="center"/>
    </xf>
    <xf numFmtId="9" fontId="0" fillId="7" borderId="11" xfId="2" applyFont="1" applyFill="1" applyBorder="1" applyAlignment="1">
      <alignment horizontal="center" vertical="center"/>
    </xf>
    <xf numFmtId="0" fontId="0" fillId="3" borderId="4" xfId="0" applyFill="1" applyBorder="1" applyAlignment="1">
      <alignment vertical="center"/>
    </xf>
    <xf numFmtId="9" fontId="0" fillId="7" borderId="5" xfId="2" applyFont="1" applyFill="1" applyBorder="1" applyAlignment="1">
      <alignment horizontal="center" vertical="center"/>
    </xf>
    <xf numFmtId="9" fontId="0" fillId="7" borderId="11" xfId="0" applyNumberFormat="1" applyFill="1" applyBorder="1" applyAlignment="1">
      <alignment horizontal="center" vertical="center"/>
    </xf>
    <xf numFmtId="0" fontId="0" fillId="7" borderId="5" xfId="0" applyFill="1" applyBorder="1" applyAlignment="1">
      <alignment horizontal="center" vertical="center"/>
    </xf>
    <xf numFmtId="9" fontId="0" fillId="7" borderId="2" xfId="0" applyNumberFormat="1" applyFill="1" applyBorder="1" applyAlignment="1">
      <alignment horizontal="center" vertical="center"/>
    </xf>
    <xf numFmtId="9" fontId="0" fillId="7" borderId="3" xfId="2" applyFont="1" applyFill="1" applyBorder="1" applyAlignment="1">
      <alignment horizontal="center" vertical="center"/>
    </xf>
    <xf numFmtId="9" fontId="0" fillId="7" borderId="8" xfId="2" applyFont="1" applyFill="1" applyBorder="1" applyAlignment="1">
      <alignment horizontal="center" vertical="center"/>
    </xf>
    <xf numFmtId="9" fontId="0" fillId="7" borderId="4" xfId="2" applyFont="1" applyFill="1" applyBorder="1" applyAlignment="1">
      <alignment horizontal="center" vertical="center"/>
    </xf>
    <xf numFmtId="0" fontId="0" fillId="7" borderId="2" xfId="0" applyFill="1" applyBorder="1" applyAlignment="1">
      <alignment horizontal="center" vertical="center"/>
    </xf>
    <xf numFmtId="0" fontId="0" fillId="7" borderId="3" xfId="0" applyFill="1" applyBorder="1" applyAlignment="1">
      <alignment horizontal="center" vertical="center"/>
    </xf>
    <xf numFmtId="9" fontId="0" fillId="7" borderId="8" xfId="0" applyNumberFormat="1" applyFill="1" applyBorder="1" applyAlignment="1">
      <alignment horizontal="center" vertical="center"/>
    </xf>
    <xf numFmtId="0" fontId="0" fillId="7" borderId="4" xfId="0" applyFill="1" applyBorder="1" applyAlignment="1">
      <alignment horizontal="center" vertical="center"/>
    </xf>
    <xf numFmtId="9" fontId="0" fillId="7" borderId="13" xfId="2" applyFont="1" applyFill="1" applyBorder="1" applyAlignment="1">
      <alignment horizontal="center" vertical="center"/>
    </xf>
    <xf numFmtId="9" fontId="0" fillId="7" borderId="14" xfId="2" applyFont="1" applyFill="1" applyBorder="1" applyAlignment="1">
      <alignment horizontal="center" vertical="center"/>
    </xf>
    <xf numFmtId="9" fontId="0" fillId="7" borderId="15" xfId="2" applyFont="1" applyFill="1" applyBorder="1" applyAlignment="1">
      <alignment horizontal="center" vertical="center"/>
    </xf>
    <xf numFmtId="0" fontId="0" fillId="7" borderId="13" xfId="0" applyFill="1" applyBorder="1" applyAlignment="1">
      <alignment horizontal="center" vertical="center"/>
    </xf>
    <xf numFmtId="9" fontId="0" fillId="7" borderId="14" xfId="0" applyNumberFormat="1" applyFill="1" applyBorder="1" applyAlignment="1">
      <alignment horizontal="center" vertical="center"/>
    </xf>
    <xf numFmtId="0" fontId="0" fillId="7" borderId="15" xfId="0" applyFill="1" applyBorder="1" applyAlignment="1">
      <alignment horizontal="center" vertical="center"/>
    </xf>
    <xf numFmtId="0" fontId="2" fillId="4" borderId="0" xfId="0" applyFont="1" applyFill="1" applyAlignment="1">
      <alignment horizontal="center" vertical="center"/>
    </xf>
    <xf numFmtId="0" fontId="2" fillId="9" borderId="0" xfId="0" applyFont="1" applyFill="1" applyAlignment="1">
      <alignment horizontal="center" vertical="center"/>
    </xf>
    <xf numFmtId="0" fontId="3" fillId="10" borderId="6" xfId="0" applyFont="1" applyFill="1" applyBorder="1" applyAlignment="1">
      <alignment vertical="center"/>
    </xf>
    <xf numFmtId="0" fontId="0" fillId="10" borderId="9" xfId="0" applyFill="1" applyBorder="1" applyAlignment="1">
      <alignment vertical="center"/>
    </xf>
    <xf numFmtId="0" fontId="0" fillId="10" borderId="7" xfId="0" applyFill="1" applyBorder="1" applyAlignment="1">
      <alignment vertical="center"/>
    </xf>
    <xf numFmtId="0" fontId="3" fillId="10" borderId="9" xfId="0" applyFont="1" applyFill="1" applyBorder="1" applyAlignment="1">
      <alignment vertical="center"/>
    </xf>
    <xf numFmtId="0" fontId="3" fillId="10" borderId="7" xfId="0" applyFont="1" applyFill="1" applyBorder="1" applyAlignment="1">
      <alignment vertical="center"/>
    </xf>
    <xf numFmtId="43" fontId="0" fillId="3" borderId="0" xfId="1" applyFont="1" applyFill="1" applyBorder="1" applyAlignment="1">
      <alignment vertical="center"/>
    </xf>
    <xf numFmtId="43" fontId="0" fillId="3" borderId="11" xfId="1" applyFont="1" applyFill="1" applyBorder="1" applyAlignment="1">
      <alignment vertical="center"/>
    </xf>
    <xf numFmtId="43" fontId="0" fillId="3" borderId="10" xfId="0" applyNumberFormat="1" applyFill="1" applyBorder="1" applyAlignment="1">
      <alignment vertical="center"/>
    </xf>
    <xf numFmtId="43" fontId="0" fillId="3" borderId="5" xfId="0" applyNumberFormat="1" applyFill="1" applyBorder="1" applyAlignment="1">
      <alignment vertical="center"/>
    </xf>
    <xf numFmtId="0" fontId="0" fillId="2" borderId="8" xfId="0" applyFill="1" applyBorder="1" applyAlignment="1">
      <alignment vertical="center"/>
    </xf>
    <xf numFmtId="43" fontId="0" fillId="3" borderId="12" xfId="1" applyFont="1" applyFill="1" applyBorder="1" applyAlignment="1">
      <alignment vertical="center"/>
    </xf>
    <xf numFmtId="43" fontId="0" fillId="3" borderId="3" xfId="1" applyFont="1" applyFill="1" applyBorder="1" applyAlignment="1">
      <alignment vertical="center"/>
    </xf>
    <xf numFmtId="9" fontId="0" fillId="2" borderId="10" xfId="2" applyFont="1" applyFill="1" applyBorder="1" applyAlignment="1">
      <alignment horizontal="center" vertical="center"/>
    </xf>
    <xf numFmtId="9" fontId="0" fillId="2" borderId="5" xfId="2" applyFont="1" applyFill="1" applyBorder="1" applyAlignment="1">
      <alignment horizontal="center" vertical="center"/>
    </xf>
    <xf numFmtId="9" fontId="0" fillId="2" borderId="12" xfId="2" applyFont="1" applyFill="1" applyBorder="1" applyAlignment="1">
      <alignment horizontal="center" vertical="center"/>
    </xf>
    <xf numFmtId="9" fontId="0" fillId="2" borderId="3" xfId="2" applyFont="1" applyFill="1" applyBorder="1" applyAlignment="1">
      <alignment horizontal="center" vertical="center"/>
    </xf>
    <xf numFmtId="9" fontId="0" fillId="2" borderId="12" xfId="0" applyNumberFormat="1" applyFill="1" applyBorder="1" applyAlignment="1">
      <alignment horizontal="center" vertical="center"/>
    </xf>
    <xf numFmtId="9" fontId="0" fillId="2" borderId="3" xfId="0" applyNumberFormat="1" applyFill="1" applyBorder="1" applyAlignment="1">
      <alignment horizontal="center" vertical="center"/>
    </xf>
    <xf numFmtId="43" fontId="0" fillId="3" borderId="10" xfId="1" applyFont="1" applyFill="1" applyBorder="1" applyAlignment="1">
      <alignment vertical="center"/>
    </xf>
    <xf numFmtId="43" fontId="0" fillId="3" borderId="5" xfId="1" applyFont="1" applyFill="1" applyBorder="1" applyAlignment="1">
      <alignment vertical="center"/>
    </xf>
    <xf numFmtId="43" fontId="0" fillId="3" borderId="9" xfId="0" applyNumberFormat="1" applyFill="1" applyBorder="1" applyAlignment="1">
      <alignment vertical="center"/>
    </xf>
    <xf numFmtId="43" fontId="0" fillId="3" borderId="7" xfId="0" applyNumberFormat="1" applyFill="1" applyBorder="1" applyAlignment="1">
      <alignment vertical="center"/>
    </xf>
    <xf numFmtId="43" fontId="0" fillId="3" borderId="13" xfId="1" applyFont="1" applyFill="1" applyBorder="1" applyAlignment="1">
      <alignment vertical="center"/>
    </xf>
    <xf numFmtId="43" fontId="0" fillId="3" borderId="15" xfId="0" applyNumberFormat="1" applyFill="1" applyBorder="1" applyAlignment="1">
      <alignment vertical="center"/>
    </xf>
    <xf numFmtId="43" fontId="0" fillId="3" borderId="14" xfId="1" applyFont="1" applyFill="1" applyBorder="1" applyAlignment="1">
      <alignment vertical="center"/>
    </xf>
    <xf numFmtId="43" fontId="0" fillId="3" borderId="15" xfId="1" applyFont="1" applyFill="1" applyBorder="1" applyAlignment="1">
      <alignment vertical="center"/>
    </xf>
    <xf numFmtId="9" fontId="12" fillId="2" borderId="15" xfId="0" applyNumberFormat="1" applyFont="1" applyFill="1" applyBorder="1" applyAlignment="1">
      <alignment horizontal="center" vertical="center"/>
    </xf>
    <xf numFmtId="9" fontId="12" fillId="2" borderId="13" xfId="0" applyNumberFormat="1" applyFont="1" applyFill="1" applyBorder="1" applyAlignment="1">
      <alignment horizontal="center" vertical="center"/>
    </xf>
    <xf numFmtId="0" fontId="0" fillId="3" borderId="1" xfId="0" applyFill="1" applyBorder="1" applyAlignment="1">
      <alignment vertical="center"/>
    </xf>
    <xf numFmtId="0" fontId="3" fillId="0" borderId="0" xfId="0" applyFont="1"/>
    <xf numFmtId="43" fontId="0" fillId="0" borderId="0" xfId="1" applyFont="1"/>
    <xf numFmtId="0" fontId="2" fillId="9" borderId="12" xfId="0" applyFont="1" applyFill="1" applyBorder="1" applyAlignment="1">
      <alignment horizontal="center" vertical="center"/>
    </xf>
    <xf numFmtId="0" fontId="2" fillId="4" borderId="12" xfId="0" applyFont="1" applyFill="1" applyBorder="1" applyAlignment="1">
      <alignment horizontal="center" vertical="center"/>
    </xf>
    <xf numFmtId="0" fontId="2" fillId="4" borderId="3" xfId="0" applyFont="1" applyFill="1" applyBorder="1" applyAlignment="1">
      <alignment horizontal="center" vertical="center"/>
    </xf>
    <xf numFmtId="0" fontId="14" fillId="3" borderId="8" xfId="0" applyFont="1" applyFill="1" applyBorder="1"/>
    <xf numFmtId="0" fontId="14" fillId="3" borderId="0" xfId="0" applyFont="1" applyFill="1"/>
    <xf numFmtId="0" fontId="14" fillId="3" borderId="11" xfId="0" applyFont="1" applyFill="1" applyBorder="1"/>
    <xf numFmtId="0" fontId="0" fillId="3" borderId="8" xfId="0" applyFill="1" applyBorder="1"/>
    <xf numFmtId="0" fontId="0" fillId="3" borderId="0" xfId="0" applyFill="1"/>
    <xf numFmtId="0" fontId="0" fillId="3" borderId="11" xfId="0" applyFill="1" applyBorder="1"/>
    <xf numFmtId="43" fontId="0" fillId="3" borderId="0" xfId="1" applyFont="1" applyFill="1" applyBorder="1"/>
    <xf numFmtId="43" fontId="0" fillId="3" borderId="11" xfId="1" applyFont="1" applyFill="1" applyBorder="1"/>
    <xf numFmtId="43" fontId="7" fillId="3" borderId="0" xfId="1" applyFont="1" applyFill="1" applyBorder="1"/>
    <xf numFmtId="43" fontId="7" fillId="3" borderId="11" xfId="1" applyFont="1" applyFill="1" applyBorder="1"/>
    <xf numFmtId="0" fontId="3" fillId="11" borderId="6" xfId="0" applyFont="1" applyFill="1" applyBorder="1"/>
    <xf numFmtId="43" fontId="15" fillId="11" borderId="9" xfId="0" applyNumberFormat="1" applyFont="1" applyFill="1" applyBorder="1"/>
    <xf numFmtId="43" fontId="15" fillId="11" borderId="7" xfId="0" applyNumberFormat="1" applyFont="1" applyFill="1" applyBorder="1"/>
    <xf numFmtId="0" fontId="3" fillId="11" borderId="2" xfId="0" applyFont="1" applyFill="1" applyBorder="1"/>
    <xf numFmtId="43" fontId="15" fillId="11" borderId="12" xfId="0" applyNumberFormat="1" applyFont="1" applyFill="1" applyBorder="1"/>
    <xf numFmtId="43" fontId="15" fillId="11" borderId="3" xfId="0" applyNumberFormat="1" applyFont="1" applyFill="1" applyBorder="1"/>
    <xf numFmtId="0" fontId="0" fillId="11" borderId="4" xfId="0" applyFill="1" applyBorder="1"/>
    <xf numFmtId="43" fontId="7" fillId="11" borderId="10" xfId="0" applyNumberFormat="1" applyFont="1" applyFill="1" applyBorder="1"/>
    <xf numFmtId="43" fontId="7" fillId="11" borderId="5" xfId="0" applyNumberFormat="1" applyFont="1" applyFill="1" applyBorder="1"/>
    <xf numFmtId="0" fontId="0" fillId="11" borderId="6" xfId="0" applyFill="1" applyBorder="1"/>
    <xf numFmtId="43" fontId="7" fillId="11" borderId="9" xfId="0" applyNumberFormat="1" applyFont="1" applyFill="1" applyBorder="1"/>
    <xf numFmtId="43" fontId="7" fillId="11" borderId="7" xfId="0" applyNumberFormat="1" applyFont="1" applyFill="1" applyBorder="1"/>
    <xf numFmtId="43" fontId="0" fillId="11" borderId="9" xfId="1" applyFont="1" applyFill="1" applyBorder="1"/>
    <xf numFmtId="43" fontId="0" fillId="11" borderId="7" xfId="1" applyFont="1" applyFill="1" applyBorder="1"/>
    <xf numFmtId="43" fontId="8" fillId="11" borderId="9" xfId="1" applyFont="1" applyFill="1" applyBorder="1"/>
    <xf numFmtId="43" fontId="8" fillId="11" borderId="7" xfId="1" applyFont="1" applyFill="1" applyBorder="1"/>
    <xf numFmtId="43" fontId="7" fillId="11" borderId="9" xfId="1" applyFont="1" applyFill="1" applyBorder="1"/>
    <xf numFmtId="43" fontId="7" fillId="11" borderId="7" xfId="1" applyFont="1" applyFill="1" applyBorder="1"/>
    <xf numFmtId="43" fontId="15" fillId="11" borderId="1" xfId="0" applyNumberFormat="1" applyFont="1" applyFill="1" applyBorder="1"/>
    <xf numFmtId="43" fontId="15" fillId="11" borderId="13" xfId="0" applyNumberFormat="1" applyFont="1" applyFill="1" applyBorder="1"/>
    <xf numFmtId="43" fontId="7" fillId="11" borderId="15" xfId="0" applyNumberFormat="1" applyFont="1" applyFill="1" applyBorder="1"/>
    <xf numFmtId="43" fontId="7" fillId="11" borderId="1" xfId="0" applyNumberFormat="1" applyFont="1" applyFill="1" applyBorder="1"/>
    <xf numFmtId="43" fontId="0" fillId="11" borderId="1" xfId="1" applyFont="1" applyFill="1" applyBorder="1"/>
    <xf numFmtId="43" fontId="8" fillId="11" borderId="1" xfId="1" applyFont="1" applyFill="1" applyBorder="1"/>
    <xf numFmtId="43" fontId="7" fillId="11" borderId="1" xfId="1" applyFont="1" applyFill="1" applyBorder="1"/>
    <xf numFmtId="43" fontId="0" fillId="0" borderId="0" xfId="1" applyFont="1" applyAlignment="1">
      <alignment vertical="center"/>
    </xf>
    <xf numFmtId="0" fontId="3" fillId="7" borderId="8" xfId="0" applyFont="1" applyFill="1" applyBorder="1" applyAlignment="1">
      <alignment vertical="center"/>
    </xf>
    <xf numFmtId="0" fontId="3" fillId="7" borderId="0" xfId="0" applyFont="1" applyFill="1" applyAlignment="1">
      <alignment vertical="center"/>
    </xf>
    <xf numFmtId="0" fontId="3" fillId="7" borderId="11" xfId="0" applyFont="1" applyFill="1" applyBorder="1" applyAlignment="1">
      <alignment vertical="center"/>
    </xf>
    <xf numFmtId="43" fontId="0" fillId="2" borderId="11" xfId="0" applyNumberFormat="1" applyFill="1" applyBorder="1" applyAlignment="1">
      <alignment vertical="center"/>
    </xf>
    <xf numFmtId="0" fontId="3" fillId="3" borderId="8" xfId="0" applyFont="1" applyFill="1" applyBorder="1" applyAlignment="1">
      <alignment vertical="center"/>
    </xf>
    <xf numFmtId="43" fontId="3" fillId="2" borderId="0" xfId="0" applyNumberFormat="1" applyFont="1" applyFill="1" applyAlignment="1">
      <alignment vertical="center"/>
    </xf>
    <xf numFmtId="43" fontId="3" fillId="2" borderId="11" xfId="0" applyNumberFormat="1" applyFont="1" applyFill="1" applyBorder="1" applyAlignment="1">
      <alignment vertical="center"/>
    </xf>
    <xf numFmtId="0" fontId="0" fillId="14" borderId="8" xfId="0" applyFill="1" applyBorder="1" applyAlignment="1">
      <alignment vertical="center"/>
    </xf>
    <xf numFmtId="0" fontId="0" fillId="14" borderId="0" xfId="0" applyFill="1" applyAlignment="1">
      <alignment vertical="center"/>
    </xf>
    <xf numFmtId="0" fontId="0" fillId="14" borderId="11" xfId="0" applyFill="1" applyBorder="1" applyAlignment="1">
      <alignment vertical="center"/>
    </xf>
    <xf numFmtId="43" fontId="0" fillId="2" borderId="0" xfId="1" applyFont="1" applyFill="1" applyBorder="1" applyAlignment="1">
      <alignment vertical="center"/>
    </xf>
    <xf numFmtId="43" fontId="0" fillId="2" borderId="11" xfId="1" applyFont="1" applyFill="1" applyBorder="1" applyAlignment="1">
      <alignment vertical="center"/>
    </xf>
    <xf numFmtId="43" fontId="0" fillId="14" borderId="0" xfId="1" applyFont="1" applyFill="1" applyBorder="1" applyAlignment="1">
      <alignment vertical="center"/>
    </xf>
    <xf numFmtId="43" fontId="0" fillId="14" borderId="11" xfId="1" applyFont="1" applyFill="1" applyBorder="1" applyAlignment="1">
      <alignment vertical="center"/>
    </xf>
    <xf numFmtId="43" fontId="0" fillId="13" borderId="0" xfId="1" applyFont="1" applyFill="1" applyBorder="1" applyAlignment="1">
      <alignment vertical="center"/>
    </xf>
    <xf numFmtId="43" fontId="0" fillId="13" borderId="11" xfId="1" applyFont="1" applyFill="1" applyBorder="1" applyAlignment="1">
      <alignment vertical="center"/>
    </xf>
    <xf numFmtId="0" fontId="3" fillId="3" borderId="4" xfId="0" applyFont="1" applyFill="1" applyBorder="1" applyAlignment="1">
      <alignment vertical="center"/>
    </xf>
    <xf numFmtId="43" fontId="3" fillId="13" borderId="10" xfId="1" applyFont="1" applyFill="1" applyBorder="1" applyAlignment="1">
      <alignment vertical="center"/>
    </xf>
    <xf numFmtId="43" fontId="3" fillId="13" borderId="5" xfId="1" applyFont="1" applyFill="1" applyBorder="1" applyAlignment="1">
      <alignment vertical="center"/>
    </xf>
    <xf numFmtId="0" fontId="2" fillId="9" borderId="9" xfId="0" applyFont="1" applyFill="1" applyBorder="1" applyAlignment="1">
      <alignment horizontal="center" vertical="center"/>
    </xf>
    <xf numFmtId="0" fontId="2" fillId="4" borderId="9" xfId="0" applyFont="1" applyFill="1" applyBorder="1" applyAlignment="1">
      <alignment horizontal="center" vertical="center"/>
    </xf>
    <xf numFmtId="0" fontId="2" fillId="4" borderId="7" xfId="0" applyFont="1" applyFill="1" applyBorder="1" applyAlignment="1">
      <alignment horizontal="center" vertical="center"/>
    </xf>
    <xf numFmtId="0" fontId="0" fillId="3" borderId="2" xfId="0" applyFill="1" applyBorder="1" applyAlignment="1">
      <alignment vertical="center"/>
    </xf>
    <xf numFmtId="43" fontId="3" fillId="2" borderId="10" xfId="0" applyNumberFormat="1" applyFont="1" applyFill="1" applyBorder="1" applyAlignment="1">
      <alignment vertical="center"/>
    </xf>
    <xf numFmtId="43" fontId="3" fillId="2" borderId="5" xfId="0" applyNumberFormat="1" applyFont="1" applyFill="1" applyBorder="1" applyAlignment="1">
      <alignment vertical="center"/>
    </xf>
    <xf numFmtId="0" fontId="3" fillId="7" borderId="6" xfId="0" applyFont="1" applyFill="1" applyBorder="1" applyAlignment="1">
      <alignment vertical="center"/>
    </xf>
    <xf numFmtId="0" fontId="0" fillId="14" borderId="6" xfId="0" applyFill="1" applyBorder="1" applyAlignment="1">
      <alignment vertical="center"/>
    </xf>
    <xf numFmtId="43" fontId="12" fillId="2" borderId="12" xfId="0" applyNumberFormat="1" applyFont="1" applyFill="1" applyBorder="1" applyAlignment="1">
      <alignment vertical="center"/>
    </xf>
    <xf numFmtId="43" fontId="12" fillId="2" borderId="3" xfId="0" applyNumberFormat="1" applyFont="1" applyFill="1" applyBorder="1" applyAlignment="1">
      <alignment vertical="center"/>
    </xf>
    <xf numFmtId="43" fontId="3" fillId="12" borderId="10" xfId="1" applyFont="1" applyFill="1" applyBorder="1" applyAlignment="1">
      <alignment vertical="center"/>
    </xf>
    <xf numFmtId="43" fontId="3" fillId="12" borderId="5" xfId="1" applyFont="1" applyFill="1" applyBorder="1" applyAlignment="1">
      <alignment vertical="center"/>
    </xf>
    <xf numFmtId="43" fontId="0" fillId="13" borderId="12" xfId="1" applyFont="1" applyFill="1" applyBorder="1" applyAlignment="1">
      <alignment vertical="center"/>
    </xf>
    <xf numFmtId="43" fontId="0" fillId="13" borderId="3" xfId="1" applyFont="1" applyFill="1" applyBorder="1" applyAlignment="1">
      <alignment vertical="center"/>
    </xf>
    <xf numFmtId="43" fontId="0" fillId="2" borderId="12" xfId="1" applyFont="1" applyFill="1" applyBorder="1" applyAlignment="1">
      <alignment vertical="center"/>
    </xf>
    <xf numFmtId="43" fontId="0" fillId="2" borderId="3" xfId="1" applyFont="1" applyFill="1" applyBorder="1" applyAlignment="1">
      <alignment vertical="center"/>
    </xf>
    <xf numFmtId="0" fontId="0" fillId="0" borderId="8" xfId="0" applyBorder="1" applyAlignment="1">
      <alignment vertical="center"/>
    </xf>
    <xf numFmtId="0" fontId="0" fillId="14" borderId="10" xfId="0" applyFill="1" applyBorder="1" applyAlignment="1">
      <alignment vertical="center"/>
    </xf>
    <xf numFmtId="0" fontId="0" fillId="14" borderId="5" xfId="0" applyFill="1" applyBorder="1" applyAlignment="1">
      <alignment vertical="center"/>
    </xf>
    <xf numFmtId="0" fontId="3" fillId="3" borderId="8" xfId="0" applyFont="1" applyFill="1" applyBorder="1"/>
    <xf numFmtId="0" fontId="3" fillId="3" borderId="0" xfId="0" applyFont="1" applyFill="1"/>
    <xf numFmtId="0" fontId="3" fillId="3" borderId="11" xfId="0" applyFont="1" applyFill="1" applyBorder="1"/>
    <xf numFmtId="43" fontId="0" fillId="11" borderId="0" xfId="0" applyNumberFormat="1" applyFill="1"/>
    <xf numFmtId="43" fontId="0" fillId="11" borderId="11" xfId="0" applyNumberFormat="1" applyFill="1" applyBorder="1"/>
    <xf numFmtId="0" fontId="20" fillId="14" borderId="8" xfId="0" applyFont="1" applyFill="1" applyBorder="1" applyAlignment="1">
      <alignment vertical="center"/>
    </xf>
    <xf numFmtId="0" fontId="20" fillId="14" borderId="0" xfId="0" applyFont="1" applyFill="1" applyAlignment="1">
      <alignment horizontal="center" vertical="center"/>
    </xf>
    <xf numFmtId="0" fontId="20" fillId="14" borderId="11" xfId="0" applyFont="1" applyFill="1" applyBorder="1" applyAlignment="1">
      <alignment horizontal="center" vertical="center"/>
    </xf>
    <xf numFmtId="0" fontId="3" fillId="7" borderId="12" xfId="0" applyFont="1" applyFill="1" applyBorder="1" applyAlignment="1">
      <alignment vertical="center"/>
    </xf>
    <xf numFmtId="0" fontId="3" fillId="7" borderId="3" xfId="0" applyFont="1" applyFill="1" applyBorder="1" applyAlignment="1">
      <alignment vertical="center"/>
    </xf>
    <xf numFmtId="43" fontId="0" fillId="2" borderId="0" xfId="0" applyNumberFormat="1" applyFill="1" applyAlignment="1">
      <alignment vertical="center"/>
    </xf>
    <xf numFmtId="43" fontId="3" fillId="11" borderId="10" xfId="0" applyNumberFormat="1" applyFont="1" applyFill="1" applyBorder="1"/>
    <xf numFmtId="43" fontId="3" fillId="11" borderId="5" xfId="0" applyNumberFormat="1" applyFont="1" applyFill="1" applyBorder="1"/>
    <xf numFmtId="0" fontId="3" fillId="0" borderId="0" xfId="0" applyFont="1" applyAlignment="1">
      <alignment vertical="center"/>
    </xf>
    <xf numFmtId="0" fontId="2" fillId="15" borderId="2" xfId="0" applyFont="1" applyFill="1" applyBorder="1" applyAlignment="1">
      <alignment vertical="center"/>
    </xf>
    <xf numFmtId="0" fontId="2" fillId="15" borderId="3" xfId="0" applyFont="1" applyFill="1" applyBorder="1" applyAlignment="1">
      <alignment horizontal="center" vertical="center"/>
    </xf>
    <xf numFmtId="165" fontId="0" fillId="3" borderId="13" xfId="0" applyNumberFormat="1" applyFill="1" applyBorder="1" applyAlignment="1">
      <alignment horizontal="center" vertical="center"/>
    </xf>
    <xf numFmtId="165" fontId="0" fillId="3" borderId="14" xfId="0" applyNumberFormat="1" applyFill="1" applyBorder="1" applyAlignment="1">
      <alignment horizontal="center" vertical="center"/>
    </xf>
    <xf numFmtId="0" fontId="0" fillId="11" borderId="8" xfId="0" applyFill="1" applyBorder="1" applyAlignment="1">
      <alignment vertical="center"/>
    </xf>
    <xf numFmtId="0" fontId="0" fillId="11" borderId="4" xfId="0" applyFill="1" applyBorder="1" applyAlignment="1">
      <alignment vertical="center"/>
    </xf>
    <xf numFmtId="0" fontId="3" fillId="11" borderId="4" xfId="0" applyFont="1" applyFill="1" applyBorder="1" applyAlignment="1">
      <alignment vertical="center"/>
    </xf>
    <xf numFmtId="165" fontId="3" fillId="3" borderId="15" xfId="0" applyNumberFormat="1" applyFont="1" applyFill="1" applyBorder="1" applyAlignment="1">
      <alignment horizontal="center" vertical="center"/>
    </xf>
    <xf numFmtId="0" fontId="23" fillId="0" borderId="0" xfId="0" applyFont="1" applyAlignment="1">
      <alignment horizontal="left" vertical="center"/>
    </xf>
    <xf numFmtId="0" fontId="6" fillId="0" borderId="0" xfId="0" applyFont="1" applyAlignment="1">
      <alignment vertical="center"/>
    </xf>
    <xf numFmtId="43" fontId="0" fillId="0" borderId="0" xfId="0" applyNumberFormat="1" applyAlignment="1">
      <alignment vertical="center"/>
    </xf>
    <xf numFmtId="165" fontId="0" fillId="0" borderId="0" xfId="2" applyNumberFormat="1" applyFont="1" applyAlignment="1">
      <alignment vertical="center"/>
    </xf>
    <xf numFmtId="165" fontId="3" fillId="3" borderId="11" xfId="2" applyNumberFormat="1" applyFont="1" applyFill="1" applyBorder="1" applyAlignment="1">
      <alignment horizontal="center" vertical="center"/>
    </xf>
    <xf numFmtId="9" fontId="3" fillId="3" borderId="14" xfId="0" applyNumberFormat="1" applyFont="1" applyFill="1" applyBorder="1" applyAlignment="1">
      <alignment horizontal="center" vertical="center"/>
    </xf>
    <xf numFmtId="0" fontId="3" fillId="3" borderId="14" xfId="0" applyFont="1" applyFill="1" applyBorder="1" applyAlignment="1">
      <alignment horizontal="center" vertical="center"/>
    </xf>
    <xf numFmtId="0" fontId="3" fillId="3" borderId="15" xfId="0" applyFont="1" applyFill="1" applyBorder="1" applyAlignment="1">
      <alignment horizontal="center" vertical="center"/>
    </xf>
    <xf numFmtId="165" fontId="3" fillId="3" borderId="14" xfId="2" applyNumberFormat="1" applyFont="1" applyFill="1" applyBorder="1" applyAlignment="1">
      <alignment horizontal="center" vertical="center"/>
    </xf>
    <xf numFmtId="0" fontId="2" fillId="4" borderId="0" xfId="0" applyFont="1" applyFill="1" applyAlignment="1">
      <alignment vertical="center"/>
    </xf>
    <xf numFmtId="0" fontId="2" fillId="4" borderId="2" xfId="0" applyFont="1" applyFill="1" applyBorder="1" applyAlignment="1">
      <alignment vertical="center"/>
    </xf>
    <xf numFmtId="43" fontId="18" fillId="3" borderId="0" xfId="0" applyNumberFormat="1" applyFont="1" applyFill="1" applyAlignment="1">
      <alignment vertical="center"/>
    </xf>
    <xf numFmtId="43" fontId="18" fillId="3" borderId="11" xfId="0" applyNumberFormat="1" applyFont="1" applyFill="1" applyBorder="1" applyAlignment="1">
      <alignment vertical="center"/>
    </xf>
    <xf numFmtId="9" fontId="24" fillId="3" borderId="0" xfId="2" applyFont="1" applyFill="1" applyBorder="1" applyAlignment="1">
      <alignment horizontal="right" vertical="center"/>
    </xf>
    <xf numFmtId="9" fontId="24" fillId="3" borderId="11" xfId="2" applyFont="1" applyFill="1" applyBorder="1" applyAlignment="1">
      <alignment horizontal="right" vertical="center"/>
    </xf>
    <xf numFmtId="43" fontId="0" fillId="2" borderId="9" xfId="0" applyNumberFormat="1" applyFill="1" applyBorder="1" applyAlignment="1">
      <alignment vertical="center"/>
    </xf>
    <xf numFmtId="43" fontId="0" fillId="2" borderId="7" xfId="0" applyNumberFormat="1" applyFill="1" applyBorder="1" applyAlignment="1">
      <alignment vertical="center"/>
    </xf>
    <xf numFmtId="9" fontId="24" fillId="3" borderId="8" xfId="2" applyFont="1" applyFill="1" applyBorder="1" applyAlignment="1">
      <alignment horizontal="right" vertical="center"/>
    </xf>
    <xf numFmtId="43" fontId="18" fillId="3" borderId="8" xfId="0" applyNumberFormat="1" applyFont="1" applyFill="1" applyBorder="1" applyAlignment="1">
      <alignment vertical="center"/>
    </xf>
    <xf numFmtId="0" fontId="2" fillId="4" borderId="6" xfId="0" applyFont="1" applyFill="1" applyBorder="1" applyAlignment="1">
      <alignment vertical="center"/>
    </xf>
    <xf numFmtId="0" fontId="2" fillId="15" borderId="6" xfId="0" applyFont="1" applyFill="1" applyBorder="1" applyAlignment="1">
      <alignment vertical="center"/>
    </xf>
    <xf numFmtId="0" fontId="21" fillId="15" borderId="9" xfId="0" applyFont="1" applyFill="1" applyBorder="1" applyAlignment="1">
      <alignment vertical="center"/>
    </xf>
    <xf numFmtId="0" fontId="21" fillId="15" borderId="7" xfId="0" applyFont="1" applyFill="1" applyBorder="1" applyAlignment="1">
      <alignment vertical="center"/>
    </xf>
    <xf numFmtId="0" fontId="3" fillId="0" borderId="0" xfId="0" applyFont="1" applyAlignment="1">
      <alignment horizontal="center" vertical="center"/>
    </xf>
    <xf numFmtId="0" fontId="2" fillId="15" borderId="3" xfId="0" applyFont="1" applyFill="1" applyBorder="1" applyAlignment="1">
      <alignment vertical="center"/>
    </xf>
    <xf numFmtId="9" fontId="0" fillId="3" borderId="11" xfId="0" applyNumberFormat="1" applyFill="1" applyBorder="1" applyAlignment="1">
      <alignment vertical="center"/>
    </xf>
    <xf numFmtId="43" fontId="0" fillId="3" borderId="14" xfId="0" applyNumberFormat="1" applyFill="1" applyBorder="1" applyAlignment="1">
      <alignment vertical="center"/>
    </xf>
    <xf numFmtId="43" fontId="0" fillId="16" borderId="14" xfId="0" applyNumberFormat="1" applyFill="1" applyBorder="1" applyAlignment="1">
      <alignment vertical="center"/>
    </xf>
    <xf numFmtId="0" fontId="3" fillId="11" borderId="8" xfId="0" applyFont="1" applyFill="1" applyBorder="1" applyAlignment="1">
      <alignment vertical="center"/>
    </xf>
    <xf numFmtId="43" fontId="3" fillId="16" borderId="14" xfId="0" applyNumberFormat="1" applyFont="1" applyFill="1" applyBorder="1" applyAlignment="1">
      <alignment vertical="center"/>
    </xf>
    <xf numFmtId="43" fontId="3" fillId="16" borderId="15" xfId="0" applyNumberFormat="1" applyFont="1" applyFill="1" applyBorder="1" applyAlignment="1">
      <alignment vertical="center"/>
    </xf>
    <xf numFmtId="0" fontId="0" fillId="11" borderId="2" xfId="0" applyFill="1" applyBorder="1" applyAlignment="1">
      <alignment vertical="center"/>
    </xf>
    <xf numFmtId="43" fontId="0" fillId="2" borderId="12" xfId="0" applyNumberFormat="1" applyFill="1" applyBorder="1" applyAlignment="1">
      <alignment vertical="center"/>
    </xf>
    <xf numFmtId="43" fontId="0" fillId="2" borderId="3" xfId="0" applyNumberFormat="1" applyFill="1" applyBorder="1" applyAlignment="1">
      <alignment vertical="center"/>
    </xf>
    <xf numFmtId="43" fontId="0" fillId="2" borderId="2" xfId="0" applyNumberFormat="1" applyFill="1" applyBorder="1" applyAlignment="1">
      <alignment vertical="center"/>
    </xf>
    <xf numFmtId="43" fontId="3" fillId="2" borderId="6" xfId="1" applyFont="1" applyFill="1" applyBorder="1" applyAlignment="1">
      <alignment vertical="center"/>
    </xf>
    <xf numFmtId="0" fontId="0" fillId="0" borderId="11" xfId="0" applyBorder="1" applyAlignment="1">
      <alignment vertical="center"/>
    </xf>
    <xf numFmtId="165" fontId="0" fillId="16" borderId="14" xfId="0" applyNumberFormat="1" applyFill="1" applyBorder="1" applyAlignment="1">
      <alignment horizontal="center" vertical="center"/>
    </xf>
    <xf numFmtId="0" fontId="22" fillId="13" borderId="8" xfId="0" applyFont="1" applyFill="1" applyBorder="1" applyAlignment="1">
      <alignment vertical="center"/>
    </xf>
    <xf numFmtId="43" fontId="3" fillId="3" borderId="13" xfId="0" applyNumberFormat="1" applyFont="1" applyFill="1" applyBorder="1" applyAlignment="1">
      <alignment vertical="center"/>
    </xf>
    <xf numFmtId="43" fontId="3" fillId="3" borderId="14" xfId="0" applyNumberFormat="1" applyFont="1" applyFill="1" applyBorder="1" applyAlignment="1">
      <alignment vertical="center"/>
    </xf>
    <xf numFmtId="43" fontId="22" fillId="13" borderId="14" xfId="1" applyFont="1" applyFill="1" applyBorder="1" applyAlignment="1">
      <alignment vertical="center"/>
    </xf>
    <xf numFmtId="165" fontId="0" fillId="0" borderId="15" xfId="2" applyNumberFormat="1" applyFont="1" applyBorder="1" applyAlignment="1">
      <alignment vertical="center"/>
    </xf>
    <xf numFmtId="165" fontId="0" fillId="3" borderId="13" xfId="2" applyNumberFormat="1" applyFont="1" applyFill="1" applyBorder="1" applyAlignment="1">
      <alignment vertical="center"/>
    </xf>
    <xf numFmtId="2" fontId="0" fillId="3" borderId="14" xfId="0" applyNumberFormat="1" applyFill="1" applyBorder="1" applyAlignment="1">
      <alignment vertical="center"/>
    </xf>
    <xf numFmtId="2" fontId="0" fillId="3" borderId="15" xfId="0" applyNumberFormat="1" applyFill="1" applyBorder="1" applyAlignment="1">
      <alignment vertical="center"/>
    </xf>
    <xf numFmtId="0" fontId="25" fillId="0" borderId="0" xfId="0" applyFont="1" applyAlignment="1">
      <alignment horizontal="left"/>
    </xf>
    <xf numFmtId="0" fontId="23" fillId="0" borderId="0" xfId="0" applyFont="1" applyAlignment="1">
      <alignment vertical="center"/>
    </xf>
    <xf numFmtId="0" fontId="2" fillId="15" borderId="2" xfId="0" applyFont="1" applyFill="1" applyBorder="1"/>
    <xf numFmtId="0" fontId="2" fillId="15" borderId="12" xfId="0" applyFont="1" applyFill="1" applyBorder="1"/>
    <xf numFmtId="0" fontId="2" fillId="15" borderId="3" xfId="0" applyFont="1" applyFill="1" applyBorder="1"/>
    <xf numFmtId="43" fontId="0" fillId="3" borderId="11" xfId="0" applyNumberFormat="1" applyFill="1" applyBorder="1"/>
    <xf numFmtId="43" fontId="3" fillId="3" borderId="3" xfId="0" applyNumberFormat="1" applyFont="1" applyFill="1" applyBorder="1"/>
    <xf numFmtId="0" fontId="0" fillId="3" borderId="4" xfId="0" applyFill="1" applyBorder="1"/>
    <xf numFmtId="0" fontId="0" fillId="3" borderId="10" xfId="0" applyFill="1" applyBorder="1"/>
    <xf numFmtId="2" fontId="0" fillId="3" borderId="5" xfId="0" applyNumberFormat="1" applyFill="1" applyBorder="1"/>
    <xf numFmtId="0" fontId="3" fillId="3" borderId="4" xfId="0" applyFont="1" applyFill="1" applyBorder="1"/>
    <xf numFmtId="43" fontId="3" fillId="3" borderId="7" xfId="0" applyNumberFormat="1" applyFont="1" applyFill="1" applyBorder="1"/>
    <xf numFmtId="0" fontId="2" fillId="15" borderId="12" xfId="0" applyFont="1" applyFill="1" applyBorder="1" applyAlignment="1">
      <alignment vertical="center"/>
    </xf>
    <xf numFmtId="0" fontId="0" fillId="3" borderId="0" xfId="0" applyFill="1" applyAlignment="1">
      <alignment vertical="center"/>
    </xf>
    <xf numFmtId="0" fontId="0" fillId="3" borderId="10" xfId="0" applyFill="1" applyBorder="1" applyAlignment="1">
      <alignment vertical="center"/>
    </xf>
    <xf numFmtId="2" fontId="0" fillId="3" borderId="11" xfId="1" applyNumberFormat="1" applyFont="1" applyFill="1" applyBorder="1" applyAlignment="1">
      <alignment horizontal="center" vertical="center"/>
    </xf>
    <xf numFmtId="0" fontId="0" fillId="3" borderId="13" xfId="0" applyFill="1" applyBorder="1" applyAlignment="1">
      <alignment horizontal="center" vertical="center"/>
    </xf>
    <xf numFmtId="2" fontId="0" fillId="3" borderId="14" xfId="1" applyNumberFormat="1" applyFont="1" applyFill="1" applyBorder="1" applyAlignment="1">
      <alignment horizontal="center" vertical="center"/>
    </xf>
    <xf numFmtId="9" fontId="0" fillId="3" borderId="15" xfId="2" applyFont="1" applyFill="1" applyBorder="1" applyAlignment="1">
      <alignment horizontal="center" vertical="center"/>
    </xf>
    <xf numFmtId="0" fontId="0" fillId="3" borderId="14" xfId="0" applyFill="1" applyBorder="1" applyAlignment="1">
      <alignment horizontal="center" vertical="center"/>
    </xf>
    <xf numFmtId="0" fontId="2" fillId="15" borderId="9" xfId="0" applyFont="1" applyFill="1" applyBorder="1" applyAlignment="1">
      <alignment vertical="center"/>
    </xf>
    <xf numFmtId="0" fontId="2" fillId="15" borderId="7" xfId="0" applyFont="1" applyFill="1" applyBorder="1" applyAlignment="1">
      <alignment vertical="center"/>
    </xf>
    <xf numFmtId="43" fontId="0" fillId="3" borderId="13" xfId="0" applyNumberFormat="1" applyFill="1" applyBorder="1" applyAlignment="1">
      <alignment vertical="center"/>
    </xf>
    <xf numFmtId="9" fontId="0" fillId="3" borderId="15" xfId="0" applyNumberFormat="1" applyFill="1" applyBorder="1" applyAlignment="1">
      <alignment vertical="center"/>
    </xf>
    <xf numFmtId="0" fontId="0" fillId="0" borderId="0" xfId="0" applyAlignment="1">
      <alignment horizontal="right" vertical="center"/>
    </xf>
    <xf numFmtId="43" fontId="0" fillId="3" borderId="12" xfId="1" applyFont="1" applyFill="1" applyBorder="1" applyAlignment="1">
      <alignment horizontal="right" vertical="center"/>
    </xf>
    <xf numFmtId="43" fontId="0" fillId="3" borderId="3" xfId="1" applyFont="1" applyFill="1" applyBorder="1" applyAlignment="1">
      <alignment horizontal="right" vertical="center"/>
    </xf>
    <xf numFmtId="9" fontId="0" fillId="3" borderId="0" xfId="0" applyNumberFormat="1" applyFill="1" applyAlignment="1">
      <alignment vertical="center"/>
    </xf>
    <xf numFmtId="43" fontId="0" fillId="3" borderId="0" xfId="1" applyFont="1" applyFill="1" applyBorder="1" applyAlignment="1">
      <alignment horizontal="right" vertical="center"/>
    </xf>
    <xf numFmtId="43" fontId="0" fillId="3" borderId="11" xfId="1" applyFont="1" applyFill="1" applyBorder="1" applyAlignment="1">
      <alignment horizontal="right" vertical="center"/>
    </xf>
    <xf numFmtId="9" fontId="0" fillId="3" borderId="14" xfId="0" applyNumberFormat="1" applyFill="1" applyBorder="1" applyAlignment="1">
      <alignment vertical="center"/>
    </xf>
    <xf numFmtId="43" fontId="0" fillId="3" borderId="5" xfId="1" applyFont="1" applyFill="1" applyBorder="1"/>
    <xf numFmtId="9" fontId="0" fillId="3" borderId="11" xfId="2" applyFont="1" applyFill="1" applyBorder="1"/>
    <xf numFmtId="9" fontId="0" fillId="3" borderId="5" xfId="2" applyFont="1" applyFill="1" applyBorder="1"/>
    <xf numFmtId="0" fontId="2" fillId="15" borderId="0" xfId="0" applyFont="1" applyFill="1"/>
    <xf numFmtId="0" fontId="0" fillId="0" borderId="0" xfId="0" applyAlignment="1">
      <alignment vertical="top"/>
    </xf>
    <xf numFmtId="43" fontId="0" fillId="2" borderId="11" xfId="0" applyNumberFormat="1" applyFill="1" applyBorder="1"/>
    <xf numFmtId="43" fontId="0" fillId="2" borderId="5" xfId="0" applyNumberFormat="1" applyFill="1" applyBorder="1"/>
    <xf numFmtId="43" fontId="0" fillId="13" borderId="5" xfId="1" applyFont="1" applyFill="1" applyBorder="1"/>
    <xf numFmtId="0" fontId="0" fillId="13" borderId="8" xfId="0" applyFill="1" applyBorder="1"/>
    <xf numFmtId="0" fontId="0" fillId="13" borderId="0" xfId="0" applyFill="1"/>
    <xf numFmtId="0" fontId="0" fillId="13" borderId="4" xfId="0" applyFill="1" applyBorder="1"/>
    <xf numFmtId="0" fontId="0" fillId="13" borderId="10" xfId="0" applyFill="1" applyBorder="1"/>
    <xf numFmtId="0" fontId="0" fillId="2" borderId="8" xfId="0" applyFill="1" applyBorder="1"/>
    <xf numFmtId="0" fontId="0" fillId="2" borderId="0" xfId="0" applyFill="1"/>
    <xf numFmtId="0" fontId="0" fillId="2" borderId="4" xfId="0" applyFill="1" applyBorder="1"/>
    <xf numFmtId="0" fontId="0" fillId="2" borderId="10" xfId="0" applyFill="1" applyBorder="1"/>
    <xf numFmtId="43" fontId="3" fillId="2" borderId="11" xfId="0" applyNumberFormat="1" applyFont="1" applyFill="1" applyBorder="1"/>
    <xf numFmtId="43" fontId="3" fillId="13" borderId="11" xfId="0" applyNumberFormat="1" applyFont="1" applyFill="1" applyBorder="1"/>
    <xf numFmtId="43" fontId="3" fillId="3" borderId="11" xfId="0" applyNumberFormat="1" applyFont="1" applyFill="1" applyBorder="1"/>
    <xf numFmtId="0" fontId="21" fillId="15" borderId="3" xfId="0" applyFont="1" applyFill="1" applyBorder="1" applyAlignment="1">
      <alignment horizontal="center" vertical="center"/>
    </xf>
    <xf numFmtId="43" fontId="0" fillId="3" borderId="11" xfId="1" applyFont="1" applyFill="1" applyBorder="1" applyAlignment="1">
      <alignment horizontal="center" vertical="center"/>
    </xf>
    <xf numFmtId="43" fontId="0" fillId="3" borderId="11" xfId="0" applyNumberFormat="1" applyFill="1" applyBorder="1" applyAlignment="1">
      <alignment horizontal="center" vertical="center"/>
    </xf>
    <xf numFmtId="165" fontId="3" fillId="3" borderId="5" xfId="2" applyNumberFormat="1" applyFont="1" applyFill="1" applyBorder="1" applyAlignment="1">
      <alignment horizontal="center" vertical="center"/>
    </xf>
    <xf numFmtId="165" fontId="0" fillId="3" borderId="11" xfId="2" applyNumberFormat="1" applyFont="1" applyFill="1" applyBorder="1" applyAlignment="1">
      <alignment horizontal="center" vertical="center"/>
    </xf>
    <xf numFmtId="4" fontId="0" fillId="3" borderId="11" xfId="0" applyNumberFormat="1" applyFill="1" applyBorder="1" applyAlignment="1">
      <alignment horizontal="center" vertical="center"/>
    </xf>
    <xf numFmtId="165" fontId="0" fillId="3" borderId="11" xfId="0" applyNumberFormat="1" applyFill="1" applyBorder="1" applyAlignment="1">
      <alignment horizontal="center" vertical="center"/>
    </xf>
    <xf numFmtId="165" fontId="3" fillId="3" borderId="5" xfId="0" applyNumberFormat="1" applyFont="1" applyFill="1" applyBorder="1" applyAlignment="1">
      <alignment horizontal="center" vertical="center"/>
    </xf>
    <xf numFmtId="0" fontId="0" fillId="8" borderId="8" xfId="0" applyFill="1" applyBorder="1"/>
    <xf numFmtId="0" fontId="3" fillId="8" borderId="4" xfId="0" applyFont="1" applyFill="1" applyBorder="1"/>
    <xf numFmtId="0" fontId="0" fillId="8" borderId="2" xfId="0" applyFill="1" applyBorder="1"/>
    <xf numFmtId="43" fontId="0" fillId="11" borderId="12" xfId="0" applyNumberFormat="1" applyFill="1" applyBorder="1"/>
    <xf numFmtId="43" fontId="0" fillId="11" borderId="3" xfId="0" applyNumberFormat="1" applyFill="1" applyBorder="1"/>
    <xf numFmtId="0" fontId="3" fillId="8" borderId="6" xfId="0" applyFont="1" applyFill="1" applyBorder="1"/>
    <xf numFmtId="43" fontId="3" fillId="11" borderId="9" xfId="0" applyNumberFormat="1" applyFont="1" applyFill="1" applyBorder="1"/>
    <xf numFmtId="43" fontId="3" fillId="11" borderId="7" xfId="0" applyNumberFormat="1" applyFont="1" applyFill="1" applyBorder="1"/>
    <xf numFmtId="0" fontId="0" fillId="8" borderId="6" xfId="0" applyFill="1" applyBorder="1"/>
    <xf numFmtId="43" fontId="0" fillId="11" borderId="9" xfId="0" applyNumberFormat="1" applyFill="1" applyBorder="1"/>
    <xf numFmtId="43" fontId="0" fillId="11" borderId="7" xfId="0" applyNumberFormat="1" applyFill="1" applyBorder="1"/>
    <xf numFmtId="43" fontId="0" fillId="11" borderId="13" xfId="0" applyNumberFormat="1" applyFill="1" applyBorder="1"/>
    <xf numFmtId="43" fontId="0" fillId="11" borderId="14" xfId="0" applyNumberFormat="1" applyFill="1" applyBorder="1"/>
    <xf numFmtId="43" fontId="3" fillId="11" borderId="15" xfId="0" applyNumberFormat="1" applyFont="1" applyFill="1" applyBorder="1"/>
    <xf numFmtId="43" fontId="0" fillId="11" borderId="1" xfId="0" applyNumberFormat="1" applyFill="1" applyBorder="1"/>
    <xf numFmtId="43" fontId="3" fillId="11" borderId="1" xfId="0" applyNumberFormat="1" applyFont="1" applyFill="1" applyBorder="1"/>
    <xf numFmtId="43" fontId="0" fillId="2" borderId="13" xfId="1" applyFont="1" applyFill="1" applyBorder="1" applyAlignment="1">
      <alignment vertical="center"/>
    </xf>
    <xf numFmtId="43" fontId="0" fillId="2" borderId="14" xfId="0" applyNumberFormat="1" applyFill="1" applyBorder="1" applyAlignment="1">
      <alignment vertical="center"/>
    </xf>
    <xf numFmtId="43" fontId="3" fillId="2" borderId="15" xfId="0" applyNumberFormat="1" applyFont="1" applyFill="1" applyBorder="1" applyAlignment="1">
      <alignment vertical="center"/>
    </xf>
    <xf numFmtId="43" fontId="12" fillId="2" borderId="13" xfId="0" applyNumberFormat="1" applyFont="1" applyFill="1" applyBorder="1" applyAlignment="1">
      <alignment vertical="center"/>
    </xf>
    <xf numFmtId="43" fontId="0" fillId="2" borderId="14" xfId="1" applyFont="1" applyFill="1" applyBorder="1" applyAlignment="1">
      <alignment vertical="center"/>
    </xf>
    <xf numFmtId="43" fontId="3" fillId="2" borderId="14" xfId="0" applyNumberFormat="1" applyFont="1" applyFill="1" applyBorder="1" applyAlignment="1">
      <alignment vertical="center"/>
    </xf>
    <xf numFmtId="43" fontId="0" fillId="12" borderId="13" xfId="1" applyFont="1" applyFill="1" applyBorder="1" applyAlignment="1">
      <alignment vertical="center"/>
    </xf>
    <xf numFmtId="43" fontId="3" fillId="12" borderId="15" xfId="1" applyFont="1" applyFill="1" applyBorder="1" applyAlignment="1">
      <alignment vertical="center"/>
    </xf>
    <xf numFmtId="43" fontId="0" fillId="13" borderId="13" xfId="1" applyFont="1" applyFill="1" applyBorder="1" applyAlignment="1">
      <alignment vertical="center"/>
    </xf>
    <xf numFmtId="43" fontId="0" fillId="13" borderId="14" xfId="1" applyFont="1" applyFill="1" applyBorder="1" applyAlignment="1">
      <alignment vertical="center"/>
    </xf>
    <xf numFmtId="43" fontId="3" fillId="13" borderId="15" xfId="1" applyFont="1" applyFill="1" applyBorder="1" applyAlignment="1">
      <alignment vertical="center"/>
    </xf>
    <xf numFmtId="43" fontId="0" fillId="12" borderId="12" xfId="1" applyFont="1" applyFill="1" applyBorder="1" applyAlignment="1">
      <alignment vertical="center"/>
    </xf>
    <xf numFmtId="43" fontId="0" fillId="12" borderId="3" xfId="1" applyFont="1" applyFill="1" applyBorder="1" applyAlignment="1">
      <alignment vertical="center"/>
    </xf>
    <xf numFmtId="0" fontId="0" fillId="8" borderId="2" xfId="0" applyFill="1" applyBorder="1" applyAlignment="1">
      <alignment vertical="center"/>
    </xf>
    <xf numFmtId="0" fontId="0" fillId="8" borderId="8" xfId="0" applyFill="1" applyBorder="1" applyAlignment="1">
      <alignment vertical="center"/>
    </xf>
    <xf numFmtId="0" fontId="0" fillId="8" borderId="4" xfId="0" applyFill="1" applyBorder="1" applyAlignment="1">
      <alignment vertical="center"/>
    </xf>
    <xf numFmtId="43" fontId="0" fillId="14" borderId="0" xfId="1" applyFont="1" applyFill="1" applyBorder="1" applyAlignment="1">
      <alignment horizontal="center" vertical="center"/>
    </xf>
    <xf numFmtId="43" fontId="0" fillId="14" borderId="11" xfId="1" applyFont="1" applyFill="1" applyBorder="1" applyAlignment="1">
      <alignment horizontal="center" vertical="center"/>
    </xf>
    <xf numFmtId="2" fontId="19" fillId="3" borderId="12" xfId="1" applyNumberFormat="1" applyFont="1" applyFill="1" applyBorder="1" applyAlignment="1">
      <alignment horizontal="center" vertical="center"/>
    </xf>
    <xf numFmtId="2" fontId="19" fillId="3" borderId="3" xfId="1" applyNumberFormat="1" applyFont="1" applyFill="1" applyBorder="1" applyAlignment="1">
      <alignment horizontal="center" vertical="center"/>
    </xf>
    <xf numFmtId="2" fontId="0" fillId="3" borderId="0" xfId="1" applyNumberFormat="1" applyFont="1" applyFill="1" applyBorder="1" applyAlignment="1">
      <alignment horizontal="center" vertical="center"/>
    </xf>
    <xf numFmtId="2" fontId="19" fillId="3" borderId="0" xfId="1" applyNumberFormat="1" applyFont="1" applyFill="1" applyBorder="1" applyAlignment="1">
      <alignment horizontal="center" vertical="center"/>
    </xf>
    <xf numFmtId="2" fontId="19" fillId="3" borderId="11" xfId="1" applyNumberFormat="1" applyFont="1" applyFill="1" applyBorder="1" applyAlignment="1">
      <alignment horizontal="center" vertical="center"/>
    </xf>
    <xf numFmtId="2" fontId="19" fillId="3" borderId="10" xfId="1" applyNumberFormat="1" applyFont="1" applyFill="1" applyBorder="1" applyAlignment="1">
      <alignment horizontal="center" vertical="center"/>
    </xf>
    <xf numFmtId="2" fontId="19" fillId="3" borderId="5" xfId="1" applyNumberFormat="1" applyFont="1" applyFill="1" applyBorder="1" applyAlignment="1">
      <alignment horizontal="center" vertical="center"/>
    </xf>
    <xf numFmtId="2" fontId="0" fillId="3" borderId="12" xfId="1" applyNumberFormat="1" applyFont="1" applyFill="1" applyBorder="1" applyAlignment="1">
      <alignment horizontal="center" vertical="center"/>
    </xf>
    <xf numFmtId="2" fontId="0" fillId="3" borderId="3" xfId="1" applyNumberFormat="1" applyFont="1" applyFill="1" applyBorder="1" applyAlignment="1">
      <alignment horizontal="center" vertical="center"/>
    </xf>
    <xf numFmtId="9" fontId="1" fillId="3" borderId="10" xfId="1" applyNumberFormat="1" applyFont="1" applyFill="1" applyBorder="1" applyAlignment="1">
      <alignment horizontal="center" vertical="center"/>
    </xf>
    <xf numFmtId="9" fontId="1" fillId="3" borderId="5" xfId="1" applyNumberFormat="1" applyFont="1" applyFill="1" applyBorder="1" applyAlignment="1">
      <alignment horizontal="center" vertical="center"/>
    </xf>
    <xf numFmtId="2" fontId="0" fillId="2" borderId="13" xfId="1" applyNumberFormat="1" applyFont="1" applyFill="1" applyBorder="1" applyAlignment="1">
      <alignment horizontal="center" vertical="center"/>
    </xf>
    <xf numFmtId="2" fontId="0" fillId="2" borderId="14" xfId="1" applyNumberFormat="1" applyFont="1" applyFill="1" applyBorder="1" applyAlignment="1">
      <alignment horizontal="center" vertical="center"/>
    </xf>
    <xf numFmtId="9" fontId="12" fillId="2" borderId="15" xfId="1" applyNumberFormat="1" applyFont="1" applyFill="1" applyBorder="1" applyAlignment="1">
      <alignment horizontal="center" vertical="center"/>
    </xf>
    <xf numFmtId="2" fontId="19" fillId="3" borderId="13" xfId="1" applyNumberFormat="1" applyFont="1" applyFill="1" applyBorder="1" applyAlignment="1">
      <alignment horizontal="center" vertical="center"/>
    </xf>
    <xf numFmtId="2" fontId="19" fillId="3" borderId="14" xfId="1" applyNumberFormat="1" applyFont="1" applyFill="1" applyBorder="1" applyAlignment="1">
      <alignment horizontal="center" vertical="center"/>
    </xf>
    <xf numFmtId="2" fontId="19" fillId="3" borderId="15" xfId="1" applyNumberFormat="1" applyFont="1" applyFill="1" applyBorder="1" applyAlignment="1">
      <alignment horizontal="center" vertical="center"/>
    </xf>
    <xf numFmtId="0" fontId="0" fillId="14" borderId="6" xfId="0" applyFill="1" applyBorder="1"/>
    <xf numFmtId="43" fontId="0" fillId="14" borderId="9" xfId="1" applyFont="1" applyFill="1" applyBorder="1"/>
    <xf numFmtId="43" fontId="0" fillId="14" borderId="7" xfId="1" applyFont="1" applyFill="1" applyBorder="1"/>
    <xf numFmtId="43" fontId="12" fillId="3" borderId="0" xfId="1" applyFont="1" applyFill="1" applyBorder="1"/>
    <xf numFmtId="43" fontId="12" fillId="3" borderId="11" xfId="1" applyFont="1" applyFill="1" applyBorder="1"/>
    <xf numFmtId="43" fontId="0" fillId="3" borderId="10" xfId="1" applyFont="1" applyFill="1" applyBorder="1"/>
    <xf numFmtId="0" fontId="0" fillId="7" borderId="8" xfId="0" applyFill="1" applyBorder="1"/>
    <xf numFmtId="0" fontId="0" fillId="7" borderId="4" xfId="0" applyFill="1" applyBorder="1"/>
    <xf numFmtId="43" fontId="18" fillId="3" borderId="1" xfId="1" applyFont="1" applyFill="1" applyBorder="1"/>
    <xf numFmtId="43" fontId="12" fillId="3" borderId="13" xfId="1" applyFont="1" applyFill="1" applyBorder="1"/>
    <xf numFmtId="43" fontId="0" fillId="3" borderId="14" xfId="1" applyFont="1" applyFill="1" applyBorder="1"/>
    <xf numFmtId="43" fontId="0" fillId="3" borderId="15" xfId="1" applyFont="1" applyFill="1" applyBorder="1"/>
    <xf numFmtId="0" fontId="10" fillId="2" borderId="7" xfId="0" applyFont="1" applyFill="1" applyBorder="1" applyAlignment="1">
      <alignment horizontal="center" vertical="center"/>
    </xf>
    <xf numFmtId="9" fontId="4" fillId="2" borderId="11" xfId="2" applyFont="1" applyFill="1" applyBorder="1" applyAlignment="1">
      <alignment horizontal="center" vertical="center"/>
    </xf>
    <xf numFmtId="9" fontId="4" fillId="2" borderId="5" xfId="2" applyFont="1" applyFill="1" applyBorder="1" applyAlignment="1">
      <alignment horizontal="center" vertical="center"/>
    </xf>
    <xf numFmtId="0" fontId="4" fillId="2" borderId="11" xfId="0" applyFont="1" applyFill="1" applyBorder="1" applyAlignment="1">
      <alignment horizontal="center" vertical="center"/>
    </xf>
    <xf numFmtId="43" fontId="4" fillId="2" borderId="11" xfId="1" applyFont="1" applyFill="1" applyBorder="1" applyAlignment="1">
      <alignment horizontal="center" vertical="center"/>
    </xf>
    <xf numFmtId="43" fontId="4" fillId="2" borderId="11" xfId="0" applyNumberFormat="1" applyFont="1" applyFill="1" applyBorder="1" applyAlignment="1">
      <alignment horizontal="center" vertical="center"/>
    </xf>
    <xf numFmtId="0" fontId="0" fillId="2" borderId="11" xfId="0" applyFill="1" applyBorder="1" applyAlignment="1">
      <alignment horizontal="center" vertical="center"/>
    </xf>
    <xf numFmtId="9" fontId="4" fillId="2" borderId="3" xfId="2" applyFont="1" applyFill="1" applyBorder="1" applyAlignment="1">
      <alignment horizontal="center" vertical="center"/>
    </xf>
    <xf numFmtId="0" fontId="0" fillId="2" borderId="3" xfId="0" applyFill="1" applyBorder="1" applyAlignment="1">
      <alignment horizontal="center" vertical="center"/>
    </xf>
    <xf numFmtId="1" fontId="0" fillId="7" borderId="8" xfId="2" applyNumberFormat="1" applyFont="1" applyFill="1" applyBorder="1" applyAlignment="1">
      <alignment horizontal="center" vertical="center"/>
    </xf>
    <xf numFmtId="1" fontId="0" fillId="7" borderId="14" xfId="0" applyNumberFormat="1" applyFill="1" applyBorder="1" applyAlignment="1">
      <alignment horizontal="center" vertical="center"/>
    </xf>
    <xf numFmtId="1" fontId="0" fillId="7" borderId="11" xfId="0" applyNumberFormat="1" applyFill="1" applyBorder="1" applyAlignment="1">
      <alignment horizontal="center" vertical="center"/>
    </xf>
    <xf numFmtId="0" fontId="4" fillId="0" borderId="0" xfId="0" applyFont="1" applyAlignment="1">
      <alignment horizontal="right" vertical="center"/>
    </xf>
    <xf numFmtId="9" fontId="22" fillId="2" borderId="2" xfId="0" applyNumberFormat="1" applyFont="1" applyFill="1" applyBorder="1"/>
    <xf numFmtId="9" fontId="0" fillId="0" borderId="0" xfId="2" applyFont="1" applyBorder="1"/>
    <xf numFmtId="9" fontId="0" fillId="0" borderId="11" xfId="2" applyFont="1" applyBorder="1"/>
    <xf numFmtId="9" fontId="0" fillId="0" borderId="10" xfId="2" applyFont="1" applyBorder="1"/>
    <xf numFmtId="9" fontId="0" fillId="0" borderId="5" xfId="2" applyFont="1" applyBorder="1"/>
    <xf numFmtId="0" fontId="27" fillId="3" borderId="6" xfId="0" applyFont="1" applyFill="1" applyBorder="1"/>
    <xf numFmtId="0" fontId="27" fillId="3" borderId="9" xfId="0" applyFont="1" applyFill="1" applyBorder="1"/>
    <xf numFmtId="0" fontId="27" fillId="3" borderId="7" xfId="0" applyFont="1" applyFill="1" applyBorder="1"/>
    <xf numFmtId="0" fontId="3" fillId="3" borderId="13" xfId="0" applyFont="1" applyFill="1" applyBorder="1"/>
    <xf numFmtId="0" fontId="3" fillId="3" borderId="14" xfId="0" applyFont="1" applyFill="1" applyBorder="1"/>
    <xf numFmtId="0" fontId="3" fillId="3" borderId="15" xfId="0" applyFont="1" applyFill="1" applyBorder="1"/>
    <xf numFmtId="0" fontId="0" fillId="0" borderId="0" xfId="0" applyAlignment="1">
      <alignment horizontal="left" vertical="center"/>
    </xf>
    <xf numFmtId="0" fontId="5" fillId="5" borderId="0" xfId="0" applyFont="1" applyFill="1" applyAlignment="1">
      <alignment horizontal="left" vertical="center"/>
    </xf>
    <xf numFmtId="0" fontId="4" fillId="2" borderId="6" xfId="0" applyFont="1" applyFill="1" applyBorder="1" applyAlignment="1">
      <alignment horizontal="left" vertical="center"/>
    </xf>
    <xf numFmtId="0" fontId="4" fillId="2" borderId="9" xfId="0" applyFont="1" applyFill="1" applyBorder="1" applyAlignment="1">
      <alignment horizontal="left" vertical="center"/>
    </xf>
    <xf numFmtId="0" fontId="4" fillId="2" borderId="7" xfId="0" applyFont="1" applyFill="1" applyBorder="1" applyAlignment="1">
      <alignment horizontal="left" vertical="center"/>
    </xf>
    <xf numFmtId="0" fontId="7" fillId="2" borderId="0" xfId="0" applyFont="1" applyFill="1" applyAlignment="1">
      <alignment horizontal="left" vertical="center"/>
    </xf>
    <xf numFmtId="0" fontId="9" fillId="6" borderId="0" xfId="0" applyFont="1" applyFill="1" applyAlignment="1">
      <alignment horizontal="left" vertical="center"/>
    </xf>
    <xf numFmtId="0" fontId="6" fillId="6" borderId="0" xfId="0" applyFont="1" applyFill="1" applyAlignment="1">
      <alignment horizontal="left" vertical="center"/>
    </xf>
    <xf numFmtId="0" fontId="3" fillId="7" borderId="6" xfId="0" applyFont="1" applyFill="1" applyBorder="1" applyAlignment="1">
      <alignment horizontal="left" vertical="center"/>
    </xf>
    <xf numFmtId="0" fontId="3" fillId="7" borderId="7" xfId="0" applyFont="1" applyFill="1" applyBorder="1" applyAlignment="1">
      <alignment horizontal="left" vertical="center"/>
    </xf>
    <xf numFmtId="0" fontId="11" fillId="5" borderId="0" xfId="0" applyFont="1" applyFill="1" applyAlignment="1">
      <alignment horizontal="left" vertical="center"/>
    </xf>
    <xf numFmtId="0" fontId="6" fillId="0" borderId="0" xfId="0" applyFont="1" applyAlignment="1">
      <alignment horizontal="left" vertical="center"/>
    </xf>
    <xf numFmtId="0" fontId="2" fillId="5" borderId="6" xfId="0" applyFont="1" applyFill="1" applyBorder="1" applyAlignment="1">
      <alignment horizontal="left" vertical="center"/>
    </xf>
    <xf numFmtId="0" fontId="2" fillId="5" borderId="9" xfId="0" applyFont="1" applyFill="1" applyBorder="1" applyAlignment="1">
      <alignment horizontal="left" vertical="center"/>
    </xf>
    <xf numFmtId="0" fontId="2" fillId="5" borderId="7" xfId="0" applyFont="1" applyFill="1" applyBorder="1" applyAlignment="1">
      <alignment horizontal="left" vertical="center"/>
    </xf>
    <xf numFmtId="0" fontId="2" fillId="5" borderId="2" xfId="0" applyFont="1" applyFill="1" applyBorder="1" applyAlignment="1">
      <alignment horizontal="left" vertical="center"/>
    </xf>
    <xf numFmtId="0" fontId="2" fillId="5" borderId="12" xfId="0" applyFont="1" applyFill="1" applyBorder="1" applyAlignment="1">
      <alignment horizontal="left" vertical="center"/>
    </xf>
    <xf numFmtId="0" fontId="2" fillId="5" borderId="3" xfId="0" applyFont="1" applyFill="1" applyBorder="1" applyAlignment="1">
      <alignment horizontal="left" vertical="center"/>
    </xf>
    <xf numFmtId="0" fontId="13" fillId="9" borderId="0" xfId="0" applyFont="1" applyFill="1" applyAlignment="1">
      <alignment horizontal="left" vertical="center"/>
    </xf>
    <xf numFmtId="0" fontId="13" fillId="5" borderId="0" xfId="0" applyFont="1" applyFill="1" applyAlignment="1">
      <alignment horizontal="left" vertical="center"/>
    </xf>
    <xf numFmtId="0" fontId="23" fillId="0" borderId="0" xfId="0" applyFont="1" applyAlignment="1">
      <alignment horizontal="left"/>
    </xf>
    <xf numFmtId="0" fontId="17" fillId="5" borderId="0" xfId="0" applyFont="1" applyFill="1" applyAlignment="1">
      <alignment horizontal="left" vertical="center"/>
    </xf>
    <xf numFmtId="0" fontId="16" fillId="0" borderId="0" xfId="0" applyFont="1" applyAlignment="1">
      <alignment horizontal="left" vertical="center"/>
    </xf>
    <xf numFmtId="0" fontId="23" fillId="0" borderId="0" xfId="0" applyFont="1" applyAlignment="1">
      <alignment horizontal="left" vertical="center"/>
    </xf>
    <xf numFmtId="0" fontId="2" fillId="15" borderId="6" xfId="0" applyFont="1" applyFill="1" applyBorder="1" applyAlignment="1">
      <alignment horizontal="left" vertical="center"/>
    </xf>
    <xf numFmtId="0" fontId="2" fillId="15" borderId="7" xfId="0" applyFont="1" applyFill="1" applyBorder="1" applyAlignment="1">
      <alignment horizontal="left" vertical="center"/>
    </xf>
    <xf numFmtId="0" fontId="25" fillId="0" borderId="0" xfId="0" applyFont="1" applyAlignment="1">
      <alignment horizontal="left"/>
    </xf>
    <xf numFmtId="0" fontId="0" fillId="3" borderId="6" xfId="0" applyFill="1" applyBorder="1" applyAlignment="1">
      <alignment horizontal="left" vertical="center" wrapText="1"/>
    </xf>
    <xf numFmtId="0" fontId="0" fillId="3" borderId="9" xfId="0" applyFill="1" applyBorder="1" applyAlignment="1">
      <alignment horizontal="left" vertical="center" wrapText="1"/>
    </xf>
    <xf numFmtId="0" fontId="0" fillId="3" borderId="7" xfId="0" applyFill="1" applyBorder="1" applyAlignment="1">
      <alignment horizontal="left" vertical="center" wrapText="1"/>
    </xf>
    <xf numFmtId="43" fontId="0" fillId="0" borderId="0" xfId="0" applyNumberFormat="1"/>
    <xf numFmtId="43" fontId="0" fillId="0" borderId="0" xfId="0" applyNumberFormat="1" applyAlignment="1">
      <alignment horizontal="right" vertical="center"/>
    </xf>
    <xf numFmtId="0" fontId="11" fillId="21" borderId="0" xfId="0" applyFont="1" applyFill="1" applyAlignment="1">
      <alignment horizontal="left" vertical="center"/>
    </xf>
    <xf numFmtId="0" fontId="29" fillId="21" borderId="0" xfId="0" applyFont="1" applyFill="1" applyAlignment="1">
      <alignment horizontal="left" vertical="center"/>
    </xf>
    <xf numFmtId="0" fontId="0" fillId="21" borderId="0" xfId="0" applyFill="1"/>
    <xf numFmtId="2" fontId="0" fillId="0" borderId="0" xfId="0" applyNumberFormat="1"/>
    <xf numFmtId="0" fontId="28" fillId="15" borderId="6" xfId="0" applyFont="1" applyFill="1" applyBorder="1" applyAlignment="1">
      <alignment horizontal="left"/>
    </xf>
    <xf numFmtId="0" fontId="28" fillId="15" borderId="7" xfId="0" applyFont="1" applyFill="1" applyBorder="1" applyAlignment="1">
      <alignment horizontal="left"/>
    </xf>
    <xf numFmtId="0" fontId="30" fillId="11" borderId="8" xfId="0" applyFont="1" applyFill="1" applyBorder="1"/>
    <xf numFmtId="43" fontId="30" fillId="2" borderId="11" xfId="0" applyNumberFormat="1" applyFont="1" applyFill="1" applyBorder="1"/>
    <xf numFmtId="43" fontId="30" fillId="2" borderId="11" xfId="1" applyFont="1" applyFill="1" applyBorder="1"/>
    <xf numFmtId="0" fontId="30" fillId="11" borderId="4" xfId="0" applyFont="1" applyFill="1" applyBorder="1"/>
    <xf numFmtId="43" fontId="30" fillId="2" borderId="5" xfId="1" applyFont="1" applyFill="1" applyBorder="1"/>
    <xf numFmtId="0" fontId="28" fillId="15" borderId="6" xfId="0" applyFont="1" applyFill="1" applyBorder="1" applyAlignment="1">
      <alignment horizontal="left" vertical="center"/>
    </xf>
    <xf numFmtId="0" fontId="28" fillId="15" borderId="7" xfId="0" applyFont="1" applyFill="1" applyBorder="1" applyAlignment="1">
      <alignment horizontal="left" vertical="center"/>
    </xf>
    <xf numFmtId="0" fontId="30" fillId="17" borderId="8" xfId="0" applyFont="1" applyFill="1" applyBorder="1"/>
    <xf numFmtId="0" fontId="30" fillId="13" borderId="11" xfId="0" applyFont="1" applyFill="1" applyBorder="1"/>
    <xf numFmtId="43" fontId="30" fillId="13" borderId="11" xfId="0" applyNumberFormat="1" applyFont="1" applyFill="1" applyBorder="1"/>
    <xf numFmtId="0" fontId="30" fillId="17" borderId="4" xfId="0" applyFont="1" applyFill="1" applyBorder="1"/>
    <xf numFmtId="43" fontId="30" fillId="13" borderId="5" xfId="0" applyNumberFormat="1" applyFont="1" applyFill="1" applyBorder="1"/>
    <xf numFmtId="0" fontId="30" fillId="18" borderId="8" xfId="0" applyFont="1" applyFill="1" applyBorder="1"/>
    <xf numFmtId="0" fontId="30" fillId="19" borderId="11" xfId="0" applyFont="1" applyFill="1" applyBorder="1"/>
    <xf numFmtId="2" fontId="30" fillId="19" borderId="11" xfId="0" applyNumberFormat="1" applyFont="1" applyFill="1" applyBorder="1"/>
    <xf numFmtId="0" fontId="30" fillId="18" borderId="4" xfId="0" applyFont="1" applyFill="1" applyBorder="1"/>
    <xf numFmtId="9" fontId="30" fillId="19" borderId="5" xfId="0" applyNumberFormat="1" applyFont="1" applyFill="1" applyBorder="1"/>
    <xf numFmtId="0" fontId="28" fillId="15" borderId="2" xfId="0" applyFont="1" applyFill="1" applyBorder="1" applyAlignment="1">
      <alignment horizontal="left" vertical="center"/>
    </xf>
    <xf numFmtId="0" fontId="28" fillId="15" borderId="3" xfId="0" applyFont="1" applyFill="1" applyBorder="1" applyAlignment="1">
      <alignment horizontal="left" vertical="center"/>
    </xf>
    <xf numFmtId="43" fontId="30" fillId="3" borderId="11" xfId="0" applyNumberFormat="1" applyFont="1" applyFill="1" applyBorder="1"/>
    <xf numFmtId="9" fontId="30" fillId="3" borderId="11" xfId="0" applyNumberFormat="1" applyFont="1" applyFill="1" applyBorder="1"/>
    <xf numFmtId="0" fontId="30" fillId="3" borderId="11" xfId="0" applyFont="1" applyFill="1" applyBorder="1"/>
    <xf numFmtId="9" fontId="30" fillId="3" borderId="5" xfId="0" applyNumberFormat="1" applyFont="1" applyFill="1" applyBorder="1"/>
    <xf numFmtId="0" fontId="0" fillId="0" borderId="0" xfId="0" applyFill="1"/>
    <xf numFmtId="0" fontId="17" fillId="20" borderId="8" xfId="0" applyFont="1" applyFill="1" applyBorder="1" applyAlignment="1">
      <alignment horizontal="left" vertical="center"/>
    </xf>
    <xf numFmtId="0" fontId="17" fillId="20" borderId="0" xfId="0" applyFont="1" applyFill="1" applyBorder="1" applyAlignment="1">
      <alignment horizontal="left" vertical="center"/>
    </xf>
    <xf numFmtId="0" fontId="2" fillId="4" borderId="8" xfId="0" applyFont="1" applyFill="1" applyBorder="1" applyAlignment="1">
      <alignment horizontal="left" vertical="center"/>
    </xf>
    <xf numFmtId="0" fontId="2" fillId="4" borderId="0" xfId="0" applyFont="1" applyFill="1" applyBorder="1" applyAlignment="1">
      <alignment horizontal="left" vertical="center"/>
    </xf>
    <xf numFmtId="0" fontId="29" fillId="21" borderId="0" xfId="0" applyFont="1" applyFill="1" applyAlignment="1">
      <alignment vertical="center"/>
    </xf>
    <xf numFmtId="0" fontId="29" fillId="20" borderId="0" xfId="0" applyFont="1" applyFill="1" applyAlignment="1">
      <alignment horizontal="center" vertical="center"/>
    </xf>
    <xf numFmtId="0" fontId="2" fillId="15" borderId="0" xfId="0" applyFont="1" applyFill="1" applyAlignment="1">
      <alignment horizontal="center" vertical="center"/>
    </xf>
  </cellXfs>
  <cellStyles count="3">
    <cellStyle name="Comma" xfId="1" builtinId="3"/>
    <cellStyle name="Normal" xfId="0" builtinId="0"/>
    <cellStyle name="Percent" xfId="2" builtinId="5"/>
  </cellStyles>
  <dxfs count="9">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FCCCC"/>
      <color rgb="FF009C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ichStyles" Target="richData/richStyl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microsoft.com/office/2017/06/relationships/rdSupportingPropertyBag" Target="richData/rdsupportingpropertybag.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microsoft.com/office/2017/06/relationships/rdSupportingPropertyBagStructure" Target="richData/rdsupportingpropertybagstructure.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Debt Paydown</a:t>
            </a:r>
            <a:r>
              <a:rPr lang="en-IN" baseline="0"/>
              <a:t> &amp; Leverage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'Helper Table'!$G$3</c:f>
              <c:strCache>
                <c:ptCount val="1"/>
                <c:pt idx="0">
                  <c:v>Debt Balance</c:v>
                </c:pt>
              </c:strCache>
            </c:strRef>
          </c:tx>
          <c:spPr>
            <a:solidFill>
              <a:schemeClr val="accent5"/>
            </a:solidFill>
            <a:ln>
              <a:noFill/>
            </a:ln>
            <a:effectLst/>
          </c:spPr>
          <c:invertIfNegative val="0"/>
          <c:cat>
            <c:strRef>
              <c:f>'Helper Table'!$H$2:$L$2</c:f>
              <c:strCache>
                <c:ptCount val="5"/>
                <c:pt idx="0">
                  <c:v>FY2026E</c:v>
                </c:pt>
                <c:pt idx="1">
                  <c:v>FY2027E</c:v>
                </c:pt>
                <c:pt idx="2">
                  <c:v>FY2028E</c:v>
                </c:pt>
                <c:pt idx="3">
                  <c:v>FY2029E</c:v>
                </c:pt>
                <c:pt idx="4">
                  <c:v>FY2030E</c:v>
                </c:pt>
              </c:strCache>
            </c:strRef>
          </c:cat>
          <c:val>
            <c:numRef>
              <c:f>'Helper Table'!$H$3:$L$3</c:f>
              <c:numCache>
                <c:formatCode>_(* #,##0.00_);_(* \(#,##0.00\);_(* "-"??_);_(@_)</c:formatCode>
                <c:ptCount val="5"/>
                <c:pt idx="0">
                  <c:v>8705.5238707156313</c:v>
                </c:pt>
                <c:pt idx="1">
                  <c:v>0</c:v>
                </c:pt>
                <c:pt idx="2">
                  <c:v>0</c:v>
                </c:pt>
                <c:pt idx="3">
                  <c:v>0</c:v>
                </c:pt>
                <c:pt idx="4">
                  <c:v>0</c:v>
                </c:pt>
              </c:numCache>
            </c:numRef>
          </c:val>
          <c:extLst>
            <c:ext xmlns:c16="http://schemas.microsoft.com/office/drawing/2014/chart" uri="{C3380CC4-5D6E-409C-BE32-E72D297353CC}">
              <c16:uniqueId val="{00000000-D19A-42B2-B986-EB9B9378AB92}"/>
            </c:ext>
          </c:extLst>
        </c:ser>
        <c:dLbls>
          <c:showLegendKey val="0"/>
          <c:showVal val="0"/>
          <c:showCatName val="0"/>
          <c:showSerName val="0"/>
          <c:showPercent val="0"/>
          <c:showBubbleSize val="0"/>
        </c:dLbls>
        <c:gapWidth val="80"/>
        <c:overlap val="-27"/>
        <c:axId val="1127390000"/>
        <c:axId val="1127391080"/>
      </c:barChart>
      <c:lineChart>
        <c:grouping val="standard"/>
        <c:varyColors val="0"/>
        <c:ser>
          <c:idx val="2"/>
          <c:order val="1"/>
          <c:tx>
            <c:strRef>
              <c:f>'Helper Table'!$G$5</c:f>
              <c:strCache>
                <c:ptCount val="1"/>
                <c:pt idx="0">
                  <c:v>Debt/EBITDA</c:v>
                </c:pt>
              </c:strCache>
            </c:strRef>
          </c:tx>
          <c:spPr>
            <a:ln w="28575" cap="rnd">
              <a:solidFill>
                <a:schemeClr val="accent3"/>
              </a:solidFill>
              <a:round/>
            </a:ln>
            <a:effectLst/>
          </c:spPr>
          <c:marker>
            <c:symbol val="circle"/>
            <c:size val="6"/>
            <c:spPr>
              <a:solidFill>
                <a:schemeClr val="tx1"/>
              </a:solidFill>
              <a:ln w="9525">
                <a:solidFill>
                  <a:schemeClr val="tx1"/>
                </a:solidFill>
              </a:ln>
              <a:effectLst/>
            </c:spPr>
          </c:marker>
          <c:cat>
            <c:strRef>
              <c:f>'Helper Table'!$H$2:$L$2</c:f>
              <c:strCache>
                <c:ptCount val="5"/>
                <c:pt idx="0">
                  <c:v>FY2026E</c:v>
                </c:pt>
                <c:pt idx="1">
                  <c:v>FY2027E</c:v>
                </c:pt>
                <c:pt idx="2">
                  <c:v>FY2028E</c:v>
                </c:pt>
                <c:pt idx="3">
                  <c:v>FY2029E</c:v>
                </c:pt>
                <c:pt idx="4">
                  <c:v>FY2030E</c:v>
                </c:pt>
              </c:strCache>
            </c:strRef>
          </c:cat>
          <c:val>
            <c:numRef>
              <c:f>'Helper Table'!$H$5:$L$5</c:f>
              <c:numCache>
                <c:formatCode>0.00</c:formatCode>
                <c:ptCount val="5"/>
                <c:pt idx="0">
                  <c:v>3.1378524072072094</c:v>
                </c:pt>
                <c:pt idx="1">
                  <c:v>0</c:v>
                </c:pt>
                <c:pt idx="2">
                  <c:v>0</c:v>
                </c:pt>
                <c:pt idx="3">
                  <c:v>0</c:v>
                </c:pt>
                <c:pt idx="4">
                  <c:v>0</c:v>
                </c:pt>
              </c:numCache>
            </c:numRef>
          </c:val>
          <c:smooth val="0"/>
          <c:extLst>
            <c:ext xmlns:c16="http://schemas.microsoft.com/office/drawing/2014/chart" uri="{C3380CC4-5D6E-409C-BE32-E72D297353CC}">
              <c16:uniqueId val="{00000001-D19A-42B2-B986-EB9B9378AB92}"/>
            </c:ext>
          </c:extLst>
        </c:ser>
        <c:dLbls>
          <c:showLegendKey val="0"/>
          <c:showVal val="0"/>
          <c:showCatName val="0"/>
          <c:showSerName val="0"/>
          <c:showPercent val="0"/>
          <c:showBubbleSize val="0"/>
        </c:dLbls>
        <c:marker val="1"/>
        <c:smooth val="0"/>
        <c:axId val="1127389640"/>
        <c:axId val="1078159736"/>
      </c:lineChart>
      <c:catAx>
        <c:axId val="112739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391080"/>
        <c:crosses val="autoZero"/>
        <c:auto val="1"/>
        <c:lblAlgn val="ctr"/>
        <c:lblOffset val="100"/>
        <c:noMultiLvlLbl val="0"/>
      </c:catAx>
      <c:valAx>
        <c:axId val="1127391080"/>
        <c:scaling>
          <c:orientation val="minMax"/>
        </c:scaling>
        <c:delete val="0"/>
        <c:axPos val="l"/>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390000"/>
        <c:crosses val="autoZero"/>
        <c:crossBetween val="between"/>
      </c:valAx>
      <c:valAx>
        <c:axId val="1078159736"/>
        <c:scaling>
          <c:orientation val="minMax"/>
        </c:scaling>
        <c:delete val="0"/>
        <c:axPos val="r"/>
        <c:numFmt formatCode="0.0&quot;x&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389640"/>
        <c:crosses val="max"/>
        <c:crossBetween val="between"/>
      </c:valAx>
      <c:catAx>
        <c:axId val="1127389640"/>
        <c:scaling>
          <c:orientation val="minMax"/>
        </c:scaling>
        <c:delete val="1"/>
        <c:axPos val="b"/>
        <c:numFmt formatCode="General" sourceLinked="1"/>
        <c:majorTickMark val="out"/>
        <c:minorTickMark val="none"/>
        <c:tickLblPos val="nextTo"/>
        <c:crossAx val="10781597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Funding Mix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'Helper Table'!$Q$2</c:f>
              <c:strCache>
                <c:ptCount val="1"/>
                <c:pt idx="0">
                  <c:v>Amount</c:v>
                </c:pt>
              </c:strCache>
            </c:strRef>
          </c:tx>
          <c:dPt>
            <c:idx val="0"/>
            <c:bubble3D val="0"/>
            <c:spPr>
              <a:solidFill>
                <a:srgbClr val="A5A5A5">
                  <a:lumMod val="75000"/>
                </a:srgbClr>
              </a:solidFill>
              <a:ln w="19050">
                <a:solidFill>
                  <a:schemeClr val="lt1"/>
                </a:solidFill>
              </a:ln>
              <a:effectLst/>
            </c:spPr>
            <c:extLst>
              <c:ext xmlns:c16="http://schemas.microsoft.com/office/drawing/2014/chart" uri="{C3380CC4-5D6E-409C-BE32-E72D297353CC}">
                <c16:uniqueId val="{00000001-7D53-423B-9CDE-110D040A81A7}"/>
              </c:ext>
            </c:extLst>
          </c:dPt>
          <c:dPt>
            <c:idx val="1"/>
            <c:bubble3D val="0"/>
            <c:spPr>
              <a:solidFill>
                <a:srgbClr val="4472C4">
                  <a:lumMod val="75000"/>
                </a:srgbClr>
              </a:solidFill>
              <a:ln w="19050">
                <a:solidFill>
                  <a:schemeClr val="lt1"/>
                </a:solidFill>
              </a:ln>
              <a:effectLst/>
            </c:spPr>
            <c:extLst>
              <c:ext xmlns:c16="http://schemas.microsoft.com/office/drawing/2014/chart" uri="{C3380CC4-5D6E-409C-BE32-E72D297353CC}">
                <c16:uniqueId val="{00000003-7D53-423B-9CDE-110D040A81A7}"/>
              </c:ext>
            </c:extLst>
          </c:dPt>
          <c:cat>
            <c:strRef>
              <c:extLst>
                <c:ext xmlns:c15="http://schemas.microsoft.com/office/drawing/2012/chart" uri="{02D57815-91ED-43cb-92C2-25804820EDAC}">
                  <c15:fullRef>
                    <c15:sqref>'Helper Table'!$P$3:$P$5</c15:sqref>
                  </c15:fullRef>
                </c:ext>
              </c:extLst>
              <c:f>'Helper Table'!$P$3:$P$4</c:f>
              <c:strCache>
                <c:ptCount val="2"/>
                <c:pt idx="0">
                  <c:v>Debt</c:v>
                </c:pt>
                <c:pt idx="1">
                  <c:v>Equity</c:v>
                </c:pt>
              </c:strCache>
            </c:strRef>
          </c:cat>
          <c:val>
            <c:numRef>
              <c:extLst>
                <c:ext xmlns:c15="http://schemas.microsoft.com/office/drawing/2012/chart" uri="{02D57815-91ED-43cb-92C2-25804820EDAC}">
                  <c15:fullRef>
                    <c15:sqref>'Helper Table'!$Q$3:$Q$5</c15:sqref>
                  </c15:fullRef>
                </c:ext>
              </c:extLst>
              <c:f>'Helper Table'!$Q$3:$Q$4</c:f>
              <c:numCache>
                <c:formatCode>_(* #,##0.00_);_(* \(#,##0.00\);_(* "-"??_);_(@_)</c:formatCode>
                <c:ptCount val="2"/>
                <c:pt idx="0">
                  <c:v>23183.54</c:v>
                </c:pt>
                <c:pt idx="1">
                  <c:v>31115.881600000001</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4-7D53-423B-9CDE-110D040A81A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Debt Paydown</a:t>
            </a:r>
            <a:r>
              <a:rPr lang="en-IN" baseline="0"/>
              <a:t> &amp; Leverage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'Helper Table'!$G$3</c:f>
              <c:strCache>
                <c:ptCount val="1"/>
                <c:pt idx="0">
                  <c:v>Debt Balance</c:v>
                </c:pt>
              </c:strCache>
            </c:strRef>
          </c:tx>
          <c:spPr>
            <a:solidFill>
              <a:schemeClr val="accent5"/>
            </a:solidFill>
            <a:ln>
              <a:noFill/>
            </a:ln>
            <a:effectLst/>
          </c:spPr>
          <c:invertIfNegative val="0"/>
          <c:cat>
            <c:strRef>
              <c:f>'Helper Table'!$H$2:$L$2</c:f>
              <c:strCache>
                <c:ptCount val="5"/>
                <c:pt idx="0">
                  <c:v>FY2026E</c:v>
                </c:pt>
                <c:pt idx="1">
                  <c:v>FY2027E</c:v>
                </c:pt>
                <c:pt idx="2">
                  <c:v>FY2028E</c:v>
                </c:pt>
                <c:pt idx="3">
                  <c:v>FY2029E</c:v>
                </c:pt>
                <c:pt idx="4">
                  <c:v>FY2030E</c:v>
                </c:pt>
              </c:strCache>
            </c:strRef>
          </c:cat>
          <c:val>
            <c:numRef>
              <c:f>'Helper Table'!$H$3:$L$3</c:f>
              <c:numCache>
                <c:formatCode>_(* #,##0.00_);_(* \(#,##0.00\);_(* "-"??_);_(@_)</c:formatCode>
                <c:ptCount val="5"/>
                <c:pt idx="0">
                  <c:v>8705.5238707156313</c:v>
                </c:pt>
                <c:pt idx="1">
                  <c:v>0</c:v>
                </c:pt>
                <c:pt idx="2">
                  <c:v>0</c:v>
                </c:pt>
                <c:pt idx="3">
                  <c:v>0</c:v>
                </c:pt>
                <c:pt idx="4">
                  <c:v>0</c:v>
                </c:pt>
              </c:numCache>
            </c:numRef>
          </c:val>
          <c:extLst>
            <c:ext xmlns:c16="http://schemas.microsoft.com/office/drawing/2014/chart" uri="{C3380CC4-5D6E-409C-BE32-E72D297353CC}">
              <c16:uniqueId val="{00000000-E60C-4BF4-866D-34627A121F05}"/>
            </c:ext>
          </c:extLst>
        </c:ser>
        <c:dLbls>
          <c:showLegendKey val="0"/>
          <c:showVal val="0"/>
          <c:showCatName val="0"/>
          <c:showSerName val="0"/>
          <c:showPercent val="0"/>
          <c:showBubbleSize val="0"/>
        </c:dLbls>
        <c:gapWidth val="80"/>
        <c:overlap val="-27"/>
        <c:axId val="1127390000"/>
        <c:axId val="1127391080"/>
      </c:barChart>
      <c:lineChart>
        <c:grouping val="standard"/>
        <c:varyColors val="0"/>
        <c:ser>
          <c:idx val="2"/>
          <c:order val="1"/>
          <c:tx>
            <c:strRef>
              <c:f>'Helper Table'!$G$5</c:f>
              <c:strCache>
                <c:ptCount val="1"/>
                <c:pt idx="0">
                  <c:v>Debt/EBITDA</c:v>
                </c:pt>
              </c:strCache>
            </c:strRef>
          </c:tx>
          <c:spPr>
            <a:ln w="28575" cap="rnd">
              <a:solidFill>
                <a:schemeClr val="accent3"/>
              </a:solidFill>
              <a:round/>
            </a:ln>
            <a:effectLst/>
          </c:spPr>
          <c:marker>
            <c:symbol val="circle"/>
            <c:size val="6"/>
            <c:spPr>
              <a:solidFill>
                <a:schemeClr val="tx1"/>
              </a:solidFill>
              <a:ln w="9525">
                <a:solidFill>
                  <a:schemeClr val="tx1"/>
                </a:solidFill>
              </a:ln>
              <a:effectLst/>
            </c:spPr>
          </c:marker>
          <c:cat>
            <c:strRef>
              <c:f>'Helper Table'!$H$2:$L$2</c:f>
              <c:strCache>
                <c:ptCount val="5"/>
                <c:pt idx="0">
                  <c:v>FY2026E</c:v>
                </c:pt>
                <c:pt idx="1">
                  <c:v>FY2027E</c:v>
                </c:pt>
                <c:pt idx="2">
                  <c:v>FY2028E</c:v>
                </c:pt>
                <c:pt idx="3">
                  <c:v>FY2029E</c:v>
                </c:pt>
                <c:pt idx="4">
                  <c:v>FY2030E</c:v>
                </c:pt>
              </c:strCache>
            </c:strRef>
          </c:cat>
          <c:val>
            <c:numRef>
              <c:f>'Helper Table'!$H$5:$L$5</c:f>
              <c:numCache>
                <c:formatCode>0.00</c:formatCode>
                <c:ptCount val="5"/>
                <c:pt idx="0">
                  <c:v>3.1378524072072094</c:v>
                </c:pt>
                <c:pt idx="1">
                  <c:v>0</c:v>
                </c:pt>
                <c:pt idx="2">
                  <c:v>0</c:v>
                </c:pt>
                <c:pt idx="3">
                  <c:v>0</c:v>
                </c:pt>
                <c:pt idx="4">
                  <c:v>0</c:v>
                </c:pt>
              </c:numCache>
            </c:numRef>
          </c:val>
          <c:smooth val="0"/>
          <c:extLst>
            <c:ext xmlns:c16="http://schemas.microsoft.com/office/drawing/2014/chart" uri="{C3380CC4-5D6E-409C-BE32-E72D297353CC}">
              <c16:uniqueId val="{00000002-E60C-4BF4-866D-34627A121F05}"/>
            </c:ext>
          </c:extLst>
        </c:ser>
        <c:dLbls>
          <c:showLegendKey val="0"/>
          <c:showVal val="0"/>
          <c:showCatName val="0"/>
          <c:showSerName val="0"/>
          <c:showPercent val="0"/>
          <c:showBubbleSize val="0"/>
        </c:dLbls>
        <c:marker val="1"/>
        <c:smooth val="0"/>
        <c:axId val="1127389640"/>
        <c:axId val="1078159736"/>
      </c:lineChart>
      <c:catAx>
        <c:axId val="112739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391080"/>
        <c:crosses val="autoZero"/>
        <c:auto val="1"/>
        <c:lblAlgn val="ctr"/>
        <c:lblOffset val="100"/>
        <c:noMultiLvlLbl val="0"/>
      </c:catAx>
      <c:valAx>
        <c:axId val="1127391080"/>
        <c:scaling>
          <c:orientation val="minMax"/>
        </c:scaling>
        <c:delete val="0"/>
        <c:axPos val="l"/>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390000"/>
        <c:crosses val="autoZero"/>
        <c:crossBetween val="between"/>
      </c:valAx>
      <c:valAx>
        <c:axId val="1078159736"/>
        <c:scaling>
          <c:orientation val="minMax"/>
        </c:scaling>
        <c:delete val="0"/>
        <c:axPos val="r"/>
        <c:numFmt formatCode="0.0&quot;x&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389640"/>
        <c:crosses val="max"/>
        <c:crossBetween val="between"/>
      </c:valAx>
      <c:catAx>
        <c:axId val="1127389640"/>
        <c:scaling>
          <c:orientation val="minMax"/>
        </c:scaling>
        <c:delete val="1"/>
        <c:axPos val="b"/>
        <c:numFmt formatCode="General" sourceLinked="1"/>
        <c:majorTickMark val="out"/>
        <c:minorTickMark val="none"/>
        <c:tickLblPos val="nextTo"/>
        <c:crossAx val="1078159736"/>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Funding Mix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'Helper Table'!$Q$2</c:f>
              <c:strCache>
                <c:ptCount val="1"/>
                <c:pt idx="0">
                  <c:v>Amount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extLst>
                <c:ext xmlns:c15="http://schemas.microsoft.com/office/drawing/2012/chart" uri="{02D57815-91ED-43cb-92C2-25804820EDAC}">
                  <c15:fullRef>
                    <c15:sqref>'Helper Table'!$P$3:$P$5</c15:sqref>
                  </c15:fullRef>
                </c:ext>
              </c:extLst>
              <c:f>'Helper Table'!$P$3:$P$4</c:f>
              <c:strCache>
                <c:ptCount val="2"/>
                <c:pt idx="0">
                  <c:v>Debt</c:v>
                </c:pt>
                <c:pt idx="1">
                  <c:v>Equity</c:v>
                </c:pt>
              </c:strCache>
            </c:strRef>
          </c:cat>
          <c:val>
            <c:numRef>
              <c:extLst>
                <c:ext xmlns:c15="http://schemas.microsoft.com/office/drawing/2012/chart" uri="{02D57815-91ED-43cb-92C2-25804820EDAC}">
                  <c15:fullRef>
                    <c15:sqref>'Helper Table'!$Q$3:$Q$5</c15:sqref>
                  </c15:fullRef>
                </c:ext>
              </c:extLst>
              <c:f>'Helper Table'!$Q$3:$Q$4</c:f>
              <c:numCache>
                <c:formatCode>_(* #,##0.00_);_(* \(#,##0.00\);_(* "-"??_);_(@_)</c:formatCode>
                <c:ptCount val="2"/>
                <c:pt idx="0">
                  <c:v>23183.54</c:v>
                </c:pt>
                <c:pt idx="1">
                  <c:v>31115.881600000001</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62E8-42FC-87B8-9DA8FC18320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Equity Value Bridge (Entry to Exit)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Equity Value Bridge (Entry to Exit)</a:t>
          </a:r>
        </a:p>
      </cx:txPr>
    </cx:title>
    <cx:plotArea>
      <cx:plotAreaRegion>
        <cx:series layoutId="waterfall" uniqueId="{76A2BB8B-B184-4C1A-84BF-2319040463ED}">
          <cx:tx>
            <cx:txData>
              <cx:f>_xlchart.v1.4</cx:f>
              <cx:v>Value</cx:v>
            </cx:txData>
          </cx:tx>
          <cx:dataPt idx="0">
            <cx:spPr>
              <a:solidFill>
                <a:srgbClr val="A5A5A5">
                  <a:lumMod val="75000"/>
                </a:srgbClr>
              </a:solidFill>
              <a:ln>
                <a:noFill/>
              </a:ln>
            </cx:spPr>
          </cx:dataPt>
          <cx:dataPt idx="1">
            <cx:spPr>
              <a:solidFill>
                <a:srgbClr val="4472C4"/>
              </a:solidFill>
              <a:ln>
                <a:noFill/>
              </a:ln>
            </cx:spPr>
          </cx:dataPt>
          <cx:dataPt idx="2">
            <cx:spPr>
              <a:solidFill>
                <a:srgbClr val="4472C4"/>
              </a:solidFill>
              <a:ln>
                <a:noFill/>
              </a:ln>
            </cx:spPr>
          </cx:dataPt>
          <cx:dataPt idx="3">
            <cx:spPr>
              <a:solidFill>
                <a:srgbClr val="A5A5A5">
                  <a:lumMod val="75000"/>
                </a:srgbClr>
              </a:solidFill>
              <a:ln>
                <a:noFill/>
              </a:ln>
            </cx:spPr>
          </cx:dataPt>
          <cx:dataLabels pos="outEnd">
            <cx:visibility seriesName="0" categoryName="0" value="1"/>
          </cx:dataLabels>
          <cx:dataId val="0"/>
          <cx:layoutPr>
            <cx:subtotals>
              <cx:idx val="0"/>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800"/>
            </a:pPr>
            <a:endParaRPr lang="en-US" sz="800" b="0" i="0" u="none" strike="noStrike" baseline="0">
              <a:solidFill>
                <a:sysClr val="windowText" lastClr="000000">
                  <a:lumMod val="65000"/>
                  <a:lumOff val="35000"/>
                </a:sysClr>
              </a:solidFill>
              <a:latin typeface="Calibri" panose="020F0502020204030204"/>
            </a:endParaRPr>
          </a:p>
        </cx:txPr>
      </cx:axis>
      <cx:axis id="1" hidden="1">
        <cx:valScaling/>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lrMapOvr bg1="lt1" tx1="dk1" bg2="lt2" tx2="dk2" accent1="accent1" accent2="accent2" accent3="accent3" accent4="accent4" accent5="accent5" accent6="accent6" hlink="hlink" folHlink="folHlink"/>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val">
        <cx:f>_xlchart.v1.17</cx:f>
      </cx:numDim>
    </cx:data>
  </cx:chartData>
  <cx:chart>
    <cx:title pos="t" align="ctr" overlay="0">
      <cx:tx>
        <cx:txData>
          <cx:v>Equity Value Bridge (Entry to Exit)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Equity Value Bridge (Entry to Exit)</a:t>
          </a:r>
        </a:p>
      </cx:txPr>
    </cx:title>
    <cx:plotArea>
      <cx:plotAreaRegion>
        <cx:series layoutId="waterfall" uniqueId="{76A2BB8B-B184-4C1A-84BF-2319040463ED}">
          <cx:tx>
            <cx:txData>
              <cx:f>_xlchart.v1.16</cx:f>
              <cx:v>Value</cx:v>
            </cx:txData>
          </cx:tx>
          <cx:dataLabels pos="outEnd">
            <cx:visibility seriesName="0" categoryName="0" value="1"/>
          </cx:dataLabels>
          <cx:dataId val="0"/>
          <cx:layoutPr>
            <cx:subtotals>
              <cx:idx val="0"/>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800"/>
            </a:pPr>
            <a:endParaRPr lang="en-US" sz="800" b="0" i="0" u="none" strike="noStrike" baseline="0">
              <a:solidFill>
                <a:sysClr val="windowText" lastClr="000000">
                  <a:lumMod val="65000"/>
                  <a:lumOff val="35000"/>
                </a:sysClr>
              </a:solidFill>
              <a:latin typeface="Calibri" panose="020F0502020204030204"/>
            </a:endParaRPr>
          </a:p>
        </cx:txPr>
      </cx:axis>
      <cx:axis id="1">
        <cx:valScaling/>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microsoft.com/office/2014/relationships/chartEx" Target="../charts/chartEx1.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194311</xdr:colOff>
      <xdr:row>15</xdr:row>
      <xdr:rowOff>171450</xdr:rowOff>
    </xdr:from>
    <xdr:to>
      <xdr:col>5</xdr:col>
      <xdr:colOff>381000</xdr:colOff>
      <xdr:row>30</xdr:row>
      <xdr:rowOff>66674</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8F0E942-2E4F-45C9-8C78-571D90B956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94311" y="3505200"/>
              <a:ext cx="6806564" cy="260984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225201</xdr:colOff>
      <xdr:row>0</xdr:row>
      <xdr:rowOff>0</xdr:rowOff>
    </xdr:from>
    <xdr:to>
      <xdr:col>17</xdr:col>
      <xdr:colOff>329450</xdr:colOff>
      <xdr:row>2</xdr:row>
      <xdr:rowOff>7620</xdr:rowOff>
    </xdr:to>
    <xdr:pic>
      <xdr:nvPicPr>
        <xdr:cNvPr id="5" name="Picture 4">
          <a:extLst>
            <a:ext uri="{FF2B5EF4-FFF2-40B4-BE49-F238E27FC236}">
              <a16:creationId xmlns:a16="http://schemas.microsoft.com/office/drawing/2014/main" id="{7BE12327-DE92-89E1-F100-58D64E9F8DE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360551" y="0"/>
          <a:ext cx="1323449" cy="598170"/>
        </a:xfrm>
        <a:prstGeom prst="rect">
          <a:avLst/>
        </a:prstGeom>
      </xdr:spPr>
    </xdr:pic>
    <xdr:clientData/>
  </xdr:twoCellAnchor>
  <xdr:twoCellAnchor>
    <xdr:from>
      <xdr:col>5</xdr:col>
      <xdr:colOff>561975</xdr:colOff>
      <xdr:row>15</xdr:row>
      <xdr:rowOff>161925</xdr:rowOff>
    </xdr:from>
    <xdr:to>
      <xdr:col>11</xdr:col>
      <xdr:colOff>19050</xdr:colOff>
      <xdr:row>30</xdr:row>
      <xdr:rowOff>47625</xdr:rowOff>
    </xdr:to>
    <xdr:graphicFrame macro="">
      <xdr:nvGraphicFramePr>
        <xdr:cNvPr id="7" name="Chart 6">
          <a:extLst>
            <a:ext uri="{FF2B5EF4-FFF2-40B4-BE49-F238E27FC236}">
              <a16:creationId xmlns:a16="http://schemas.microsoft.com/office/drawing/2014/main" id="{EC04BA79-0946-47F3-AC47-1515600A26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314325</xdr:colOff>
      <xdr:row>5</xdr:row>
      <xdr:rowOff>19050</xdr:rowOff>
    </xdr:from>
    <xdr:to>
      <xdr:col>17</xdr:col>
      <xdr:colOff>276225</xdr:colOff>
      <xdr:row>17</xdr:row>
      <xdr:rowOff>104775</xdr:rowOff>
    </xdr:to>
    <xdr:graphicFrame macro="">
      <xdr:nvGraphicFramePr>
        <xdr:cNvPr id="9" name="Chart 8">
          <a:extLst>
            <a:ext uri="{FF2B5EF4-FFF2-40B4-BE49-F238E27FC236}">
              <a16:creationId xmlns:a16="http://schemas.microsoft.com/office/drawing/2014/main" id="{BC0A68A4-AAAD-4984-A137-F97D8B63A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148590</xdr:rowOff>
    </xdr:from>
    <xdr:to>
      <xdr:col>4</xdr:col>
      <xdr:colOff>99060</xdr:colOff>
      <xdr:row>16</xdr:row>
      <xdr:rowOff>106680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824B714-C895-7FF3-8C3E-9DE4D6EEF3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1245870"/>
              <a:ext cx="3787140" cy="17868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502920</xdr:colOff>
      <xdr:row>6</xdr:row>
      <xdr:rowOff>41910</xdr:rowOff>
    </xdr:from>
    <xdr:to>
      <xdr:col>12</xdr:col>
      <xdr:colOff>472440</xdr:colOff>
      <xdr:row>21</xdr:row>
      <xdr:rowOff>41910</xdr:rowOff>
    </xdr:to>
    <xdr:graphicFrame macro="">
      <xdr:nvGraphicFramePr>
        <xdr:cNvPr id="3" name="Chart 2">
          <a:extLst>
            <a:ext uri="{FF2B5EF4-FFF2-40B4-BE49-F238E27FC236}">
              <a16:creationId xmlns:a16="http://schemas.microsoft.com/office/drawing/2014/main" id="{46608BE9-7009-94A6-65E0-F72DBBCBD8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30480</xdr:colOff>
      <xdr:row>6</xdr:row>
      <xdr:rowOff>19050</xdr:rowOff>
    </xdr:from>
    <xdr:to>
      <xdr:col>21</xdr:col>
      <xdr:colOff>30480</xdr:colOff>
      <xdr:row>18</xdr:row>
      <xdr:rowOff>137160</xdr:rowOff>
    </xdr:to>
    <xdr:graphicFrame macro="">
      <xdr:nvGraphicFramePr>
        <xdr:cNvPr id="4" name="Chart 3">
          <a:extLst>
            <a:ext uri="{FF2B5EF4-FFF2-40B4-BE49-F238E27FC236}">
              <a16:creationId xmlns:a16="http://schemas.microsoft.com/office/drawing/2014/main" id="{25FB98D3-AA85-1DB8-F9C0-F5E75A12B8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4">
  <rv s="0">
    <v>0</v>
    <v>5</v>
  </rv>
  <rv s="1">
    <v>https://www.bing.com/financeapi/forcetrigger?t=ahj75r&amp;q=XNSE%3aCOFORGE&amp;form=skydnc</v>
    <v>Learn more on Bing</v>
  </rv>
  <rv s="2">
    <v>en-IN</v>
    <v>ahj75r</v>
    <v>268435456</v>
    <v>1</v>
    <v>Powered by Refinitiv</v>
    <v>0</v>
    <v>COFORGE LIMITED (XNSE:COFORGE)</v>
    <v>2</v>
    <v>3</v>
    <v>Finance</v>
    <v>4</v>
    <v>2005.36</v>
    <v>1194.01</v>
    <v>1.1335999999999999</v>
    <v>-64.400000000000006</v>
    <v>-3.7060000000000003E-2</v>
    <v>INR</v>
    <v>Coforge Limited is an India-based information technology (IT) solution company. It is engaged in the in-application development and maintenance, managed services, cloud computing and business process outsourcing. The Company provides computer programming consultancy and related activities. Its geographical segments include Americas, Europe, Middle East, and Africa (EMEA), Asia Pacific (APAC), and India. It offers various services, such as Artificial Intelligence, Digital, Data and Analytics, Digital Process Automation, Salesforce Ecosystem, Cloud and Infrastructure Management Services, Cybersecurity Services, Business Process Solutions, Quality Engineering Services, Systems, Applications &amp; Products in Data Processing (SAP) Services, and Metaverse. Its salesforce ecosystem includes Salesforce, and Mulesoft. Its digital process automation includes Appian, Pega, Mendix, and OutSystems. Its cloud and infrastructure management services include Cloud Services, Anyplace Workplace, and others.</v>
    <v>17334</v>
    <v>National Stock Exchange of India</v>
    <v>XNSE</v>
    <v>XNSE</v>
    <v>8, Balaji Estate, First Floor, Guru Ravi Das Marg, Kalkaji, NEW DELHI, DELHI, 110019 IN</v>
    <v>1744.7</v>
    <v>Software &amp; IT Services</v>
    <v>Stock</v>
    <v>46017.492881944447</v>
    <v>1</v>
    <v>1658.9</v>
    <v>582202100000</v>
    <v>COFORGE LIMITED</v>
    <v>COFORGE LIMITED</v>
    <v>1730</v>
    <v>51.021000000000001</v>
    <v>1737.7</v>
    <v>1673.3</v>
    <v>335041800</v>
    <v>COFORGE</v>
    <v>COFORGE LIMITED (XNSE:COFORGE)</v>
    <v>4261704</v>
    <v>1531720</v>
    <v>1992</v>
  </rv>
  <rv s="3">
    <v>2</v>
  </rv>
</rvData>
</file>

<file path=xl/richData/rdrichvaluestructure.xml><?xml version="1.0" encoding="utf-8"?>
<rvStructures xmlns="http://schemas.microsoft.com/office/spreadsheetml/2017/richdata" count="4">
  <s t="_localImage">
    <k n="_rvRel:LocalImageIdentifier" t="i"/>
    <k n="CalcOrigin" t="i"/>
  </s>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spb>
    <spb s="4">
      <v>Delayed 5 minutes</v>
      <v>from previous close</v>
      <v>from previous close</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yyyy/mm/dd\ h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 xml:space="preserve">_ [$₹-en-IN] * #,##0.00_ ;_ [$₹-en-IN] * -#,##0.00_ ;_ [$₹-en-IN] * "-"??_ ;_ @_ </rpv>
    </rSty>
    <rSty dxfid="5">
      <rpv i="0">#,##0.00</rpv>
    </rSty>
    <rSty>
      <rpv i="1">1</rpv>
    </rSty>
    <rSty dxfid="4">
      <rpv i="0">#,##0</rpv>
    </rSty>
    <rSty dxfid="3"/>
    <rSty dxfid="1">
      <rpv i="0" xml:space="preserve">_ [$₹-en-IN] * #,##0_ ;_ [$₹-en-IN] * -#,##0_ ;_ [$₹-en-IN] * "-"_ ;_ @_ </rpv>
    </rSty>
    <rSty dxfid="2"/>
    <rSty dxfid="6">
      <rpv i="0">0</rpv>
    </rSty>
    <rSty dxfid="0">
      <rpv i="0">0.00</rpv>
    </rSty>
  </richStyles>
</richStyleSheet>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
  <sheetViews>
    <sheetView showGridLines="0" workbookViewId="0">
      <selection activeCell="E23" sqref="E23"/>
    </sheetView>
  </sheetViews>
  <sheetFormatPr defaultRowHeight="14.4" x14ac:dyDescent="0.3"/>
  <cols>
    <col min="1" max="1" width="13.109375" style="1" bestFit="1" customWidth="1"/>
    <col min="2" max="2" width="5.44140625" style="1" bestFit="1" customWidth="1"/>
    <col min="3" max="3" width="16.33203125" style="1" bestFit="1" customWidth="1"/>
    <col min="4" max="16384" width="8.88671875" style="1"/>
  </cols>
  <sheetData>
    <row r="1" spans="1:7" x14ac:dyDescent="0.3">
      <c r="A1" s="352" t="e" vm="1">
        <v>#VALUE!</v>
      </c>
      <c r="B1" s="352"/>
    </row>
    <row r="2" spans="1:7" x14ac:dyDescent="0.3">
      <c r="A2" s="352"/>
      <c r="B2" s="352"/>
    </row>
    <row r="3" spans="1:7" ht="31.2" x14ac:dyDescent="0.3">
      <c r="A3" s="353" t="s">
        <v>0</v>
      </c>
      <c r="B3" s="353"/>
      <c r="C3" s="353"/>
      <c r="D3" s="353"/>
      <c r="E3" s="353"/>
      <c r="F3" s="353"/>
      <c r="G3" s="353"/>
    </row>
    <row r="4" spans="1:7" x14ac:dyDescent="0.3">
      <c r="A4" s="359" t="s">
        <v>4</v>
      </c>
      <c r="B4" s="359"/>
      <c r="C4" s="359"/>
      <c r="D4" s="359"/>
      <c r="E4" s="359"/>
      <c r="F4" s="359"/>
      <c r="G4" s="359"/>
    </row>
    <row r="6" spans="1:7" x14ac:dyDescent="0.3">
      <c r="A6" s="3" t="s">
        <v>1</v>
      </c>
      <c r="B6" s="354" t="e" vm="2">
        <v>#VALUE!</v>
      </c>
      <c r="C6" s="355"/>
      <c r="D6" s="355"/>
      <c r="E6" s="356"/>
    </row>
    <row r="9" spans="1:7" x14ac:dyDescent="0.3">
      <c r="A9" s="357" t="s">
        <v>6</v>
      </c>
      <c r="B9" s="357"/>
      <c r="C9" s="357"/>
    </row>
    <row r="12" spans="1:7" x14ac:dyDescent="0.3">
      <c r="A12" s="4" t="s">
        <v>2</v>
      </c>
      <c r="B12" s="4" t="s">
        <v>3</v>
      </c>
      <c r="C12" s="5">
        <f ca="1">TODAY()</f>
        <v>46018</v>
      </c>
    </row>
    <row r="15" spans="1:7" x14ac:dyDescent="0.3">
      <c r="A15" s="358" t="s">
        <v>5</v>
      </c>
      <c r="B15" s="358"/>
      <c r="C15" s="358"/>
      <c r="D15" s="358"/>
      <c r="E15" s="358"/>
      <c r="F15" s="358"/>
      <c r="G15" s="358"/>
    </row>
  </sheetData>
  <mergeCells count="6">
    <mergeCell ref="A1:B2"/>
    <mergeCell ref="A3:G3"/>
    <mergeCell ref="B6:E6"/>
    <mergeCell ref="A9:C9"/>
    <mergeCell ref="A15:G15"/>
    <mergeCell ref="A4:G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6B934-23CB-4B79-9804-3BF0691EED5E}">
  <dimension ref="A1:G33"/>
  <sheetViews>
    <sheetView topLeftCell="A9" workbookViewId="0">
      <selection activeCell="B29" sqref="B29"/>
    </sheetView>
  </sheetViews>
  <sheetFormatPr defaultRowHeight="14.4" x14ac:dyDescent="0.3"/>
  <cols>
    <col min="1" max="1" width="91.21875" style="1" customWidth="1"/>
    <col min="2" max="2" width="9.88671875" style="2" bestFit="1" customWidth="1"/>
    <col min="3" max="16384" width="8.88671875" style="1"/>
  </cols>
  <sheetData>
    <row r="1" spans="1:7" ht="21" x14ac:dyDescent="0.3">
      <c r="A1" s="362" t="s">
        <v>26</v>
      </c>
      <c r="B1" s="362"/>
    </row>
    <row r="2" spans="1:7" x14ac:dyDescent="0.3">
      <c r="A2" s="363" t="s">
        <v>131</v>
      </c>
      <c r="B2" s="363"/>
      <c r="C2" s="162"/>
      <c r="D2" s="162"/>
      <c r="E2" s="162"/>
      <c r="F2" s="162"/>
      <c r="G2" s="162"/>
    </row>
    <row r="3" spans="1:7" x14ac:dyDescent="0.3">
      <c r="B3" s="1"/>
    </row>
    <row r="4" spans="1:7" x14ac:dyDescent="0.3">
      <c r="A4" s="3" t="s">
        <v>7</v>
      </c>
      <c r="B4" s="328" t="s">
        <v>8</v>
      </c>
    </row>
    <row r="5" spans="1:7" x14ac:dyDescent="0.3">
      <c r="B5" s="1"/>
    </row>
    <row r="6" spans="1:7" x14ac:dyDescent="0.3">
      <c r="A6" s="360" t="s">
        <v>13</v>
      </c>
      <c r="B6" s="361"/>
    </row>
    <row r="7" spans="1:7" x14ac:dyDescent="0.3">
      <c r="A7" s="136"/>
      <c r="B7" s="197"/>
    </row>
    <row r="8" spans="1:7" x14ac:dyDescent="0.3">
      <c r="A8" s="123" t="s">
        <v>9</v>
      </c>
      <c r="B8" s="335">
        <f>CHOOSE(MATCH(B4,{"Base","Upside","Downside"},0),'Scenario Assumptions'!B6,'Scenario Assumptions'!C6,'Scenario Assumptions'!D6)</f>
        <v>0.24149999999999999</v>
      </c>
    </row>
    <row r="9" spans="1:7" x14ac:dyDescent="0.3">
      <c r="A9" s="9" t="s">
        <v>10</v>
      </c>
      <c r="B9" s="329">
        <f>CHOOSE(MATCH(B4,{"Base","Upside","Downside"},0),'Scenario Assumptions'!B7,'Scenario Assumptions'!C7,'Scenario Assumptions'!D7)</f>
        <v>0.17249999999999999</v>
      </c>
    </row>
    <row r="10" spans="1:7" x14ac:dyDescent="0.3">
      <c r="A10" s="9" t="s">
        <v>11</v>
      </c>
      <c r="B10" s="329">
        <f>CHOOSE(MATCH(B4,{"Base","Upside","Downside"},0),'Scenario Assumptions'!B8,'Scenario Assumptions'!C8,'Scenario Assumptions'!D8)</f>
        <v>0.04</v>
      </c>
    </row>
    <row r="11" spans="1:7" x14ac:dyDescent="0.3">
      <c r="A11" s="9" t="s">
        <v>53</v>
      </c>
      <c r="B11" s="329">
        <f>Capex_Depreciation!B8/Capex_Depreciation!B5</f>
        <v>5.566258786774278E-2</v>
      </c>
    </row>
    <row r="12" spans="1:7" x14ac:dyDescent="0.3">
      <c r="A12" s="9" t="s">
        <v>12</v>
      </c>
      <c r="B12" s="329">
        <f>CHOOSE(MATCH(B4,{"Base","Upside","Downside"},0),'Scenario Assumptions'!B10,'Scenario Assumptions'!C10,'Scenario Assumptions'!D10)</f>
        <v>9.6849999999999992E-2</v>
      </c>
    </row>
    <row r="13" spans="1:7" x14ac:dyDescent="0.3">
      <c r="A13" s="9" t="s">
        <v>84</v>
      </c>
      <c r="B13" s="329">
        <f>CHOOSE(MATCH(B4,{"Base","Upside","Downside"},0),'Scenario Assumptions'!B9,'Scenario Assumptions'!C9,'Scenario Assumptions'!D9)</f>
        <v>0.11</v>
      </c>
    </row>
    <row r="14" spans="1:7" x14ac:dyDescent="0.3">
      <c r="A14" s="11" t="s">
        <v>58</v>
      </c>
      <c r="B14" s="330">
        <v>0.25</v>
      </c>
    </row>
    <row r="15" spans="1:7" x14ac:dyDescent="0.3">
      <c r="B15" s="1"/>
    </row>
    <row r="16" spans="1:7" x14ac:dyDescent="0.3">
      <c r="A16" s="360" t="s">
        <v>14</v>
      </c>
      <c r="B16" s="361"/>
    </row>
    <row r="17" spans="1:2" x14ac:dyDescent="0.3">
      <c r="A17" s="136"/>
      <c r="B17" s="197"/>
    </row>
    <row r="18" spans="1:2" x14ac:dyDescent="0.3">
      <c r="A18" s="123" t="s">
        <v>15</v>
      </c>
      <c r="B18" s="335">
        <f ca="1">CHOOSE(MATCH(B4,{"Base","Upside","Downside"},0),'Scenario Assumptions'!B15,'Scenario Assumptions'!C15,'Scenario Assumptions'!D15)</f>
        <v>0.14123269794095872</v>
      </c>
    </row>
    <row r="19" spans="1:2" x14ac:dyDescent="0.3">
      <c r="A19" s="9" t="s">
        <v>16</v>
      </c>
      <c r="B19" s="329">
        <f>CHOOSE(MATCH(B4,{"Base","Upside","Downside"},0),'Scenario Assumptions'!B16,'Scenario Assumptions'!C16,'Scenario Assumptions'!D16)</f>
        <v>3.5000000000000003E-2</v>
      </c>
    </row>
    <row r="20" spans="1:2" x14ac:dyDescent="0.3">
      <c r="A20" s="9" t="s">
        <v>17</v>
      </c>
      <c r="B20" s="331">
        <f>CHOOSE(MATCH(B4,{"Base","Upside","Downside"},0),'Scenario Assumptions'!B21,'Scenario Assumptions'!C21,'Scenario Assumptions'!D21)</f>
        <v>24.95</v>
      </c>
    </row>
    <row r="21" spans="1:2" x14ac:dyDescent="0.3">
      <c r="A21" s="9" t="s">
        <v>18</v>
      </c>
      <c r="B21" s="331">
        <f>CHOOSE(MATCH(B4,{"Base","Upside","Downside"},0),'Scenario Assumptions'!B25,'Scenario Assumptions'!C25,'Scenario Assumptions'!D25)</f>
        <v>24.95</v>
      </c>
    </row>
    <row r="22" spans="1:2" x14ac:dyDescent="0.3">
      <c r="A22" s="9" t="s">
        <v>170</v>
      </c>
      <c r="B22" s="334"/>
    </row>
    <row r="23" spans="1:2" x14ac:dyDescent="0.3">
      <c r="A23" s="11" t="s">
        <v>34</v>
      </c>
      <c r="B23" s="330">
        <f>CHOOSE(MATCH(B4,{"Base","Upside","Downside"},0),'Scenario Assumptions'!B22,'Scenario Assumptions'!C22,'Scenario Assumptions'!D22)</f>
        <v>0.5</v>
      </c>
    </row>
    <row r="24" spans="1:2" x14ac:dyDescent="0.3">
      <c r="B24" s="1"/>
    </row>
    <row r="25" spans="1:2" x14ac:dyDescent="0.3">
      <c r="A25" s="360" t="s">
        <v>19</v>
      </c>
      <c r="B25" s="361"/>
    </row>
    <row r="26" spans="1:2" x14ac:dyDescent="0.3">
      <c r="A26" s="136"/>
      <c r="B26" s="197"/>
    </row>
    <row r="27" spans="1:2" x14ac:dyDescent="0.3">
      <c r="A27" s="123" t="s">
        <v>20</v>
      </c>
      <c r="B27" s="336"/>
    </row>
    <row r="28" spans="1:2" x14ac:dyDescent="0.3">
      <c r="A28" s="9" t="s">
        <v>21</v>
      </c>
      <c r="B28" s="332">
        <f>B20*(1296.1+134.7+427.6)</f>
        <v>46367.08</v>
      </c>
    </row>
    <row r="29" spans="1:2" x14ac:dyDescent="0.3">
      <c r="A29" s="9" t="s">
        <v>22</v>
      </c>
      <c r="B29" s="333">
        <f>(B28*0.02)+B28-(B28*B23)-7956</f>
        <v>16154.881600000001</v>
      </c>
    </row>
    <row r="30" spans="1:2" x14ac:dyDescent="0.3">
      <c r="A30" s="9" t="s">
        <v>23</v>
      </c>
      <c r="B30" s="334"/>
    </row>
    <row r="31" spans="1:2" x14ac:dyDescent="0.3">
      <c r="A31" s="9" t="s">
        <v>24</v>
      </c>
      <c r="B31" s="334"/>
    </row>
    <row r="32" spans="1:2" x14ac:dyDescent="0.3">
      <c r="A32" s="9" t="s">
        <v>25</v>
      </c>
      <c r="B32" s="334"/>
    </row>
    <row r="33" spans="1:2" x14ac:dyDescent="0.3">
      <c r="A33" s="11" t="s">
        <v>152</v>
      </c>
      <c r="B33" s="44">
        <v>0.02</v>
      </c>
    </row>
  </sheetData>
  <mergeCells count="5">
    <mergeCell ref="A6:B6"/>
    <mergeCell ref="A16:B16"/>
    <mergeCell ref="A25:B25"/>
    <mergeCell ref="A1:B1"/>
    <mergeCell ref="A2:B2"/>
  </mergeCells>
  <dataValidations count="1">
    <dataValidation type="list" allowBlank="1" showInputMessage="1" showErrorMessage="1" sqref="B4" xr:uid="{2CECE342-4DC8-4858-9B34-CA12EA7C265E}">
      <formula1>"Base, Upside, Downside"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329DD-3F7F-465A-9804-B59FD324C0F7}">
  <dimension ref="A1:F25"/>
  <sheetViews>
    <sheetView showGridLines="0" workbookViewId="0">
      <selection activeCell="D25" sqref="D25"/>
    </sheetView>
  </sheetViews>
  <sheetFormatPr defaultRowHeight="14.4" x14ac:dyDescent="0.3"/>
  <cols>
    <col min="1" max="1" width="71.5546875" style="1" customWidth="1"/>
    <col min="2" max="3" width="8.88671875" style="1"/>
    <col min="4" max="4" width="10" style="1" bestFit="1" customWidth="1"/>
    <col min="5" max="16384" width="8.88671875" style="1"/>
  </cols>
  <sheetData>
    <row r="1" spans="1:6" x14ac:dyDescent="0.3">
      <c r="A1" s="370" t="s">
        <v>49</v>
      </c>
      <c r="B1" s="370"/>
      <c r="C1" s="370"/>
      <c r="D1" s="370"/>
      <c r="E1" s="370"/>
      <c r="F1" s="370"/>
    </row>
    <row r="2" spans="1:6" x14ac:dyDescent="0.3">
      <c r="A2" s="370"/>
      <c r="B2" s="370"/>
      <c r="C2" s="370"/>
      <c r="D2" s="370"/>
      <c r="E2" s="370"/>
      <c r="F2" s="370"/>
    </row>
    <row r="4" spans="1:6" x14ac:dyDescent="0.3">
      <c r="A4" s="364" t="s">
        <v>31</v>
      </c>
      <c r="B4" s="365"/>
      <c r="C4" s="365"/>
      <c r="D4" s="366"/>
    </row>
    <row r="5" spans="1:6" x14ac:dyDescent="0.3">
      <c r="A5" s="6" t="s">
        <v>27</v>
      </c>
      <c r="B5" s="7" t="s">
        <v>8</v>
      </c>
      <c r="C5" s="7" t="s">
        <v>28</v>
      </c>
      <c r="D5" s="8" t="s">
        <v>29</v>
      </c>
    </row>
    <row r="6" spans="1:6" x14ac:dyDescent="0.3">
      <c r="A6" s="9" t="s">
        <v>9</v>
      </c>
      <c r="B6" s="15">
        <v>0.24149999999999999</v>
      </c>
      <c r="C6" s="23">
        <v>0.28149999999999997</v>
      </c>
      <c r="D6" s="16">
        <v>0.20149999999999998</v>
      </c>
    </row>
    <row r="7" spans="1:6" x14ac:dyDescent="0.3">
      <c r="A7" s="9" t="s">
        <v>10</v>
      </c>
      <c r="B7" s="17">
        <v>0.17249999999999999</v>
      </c>
      <c r="C7" s="24">
        <v>0.19249999999999998</v>
      </c>
      <c r="D7" s="10">
        <v>0.1525</v>
      </c>
    </row>
    <row r="8" spans="1:6" x14ac:dyDescent="0.3">
      <c r="A8" s="9" t="s">
        <v>11</v>
      </c>
      <c r="B8" s="17">
        <v>0.04</v>
      </c>
      <c r="C8" s="24">
        <v>0.03</v>
      </c>
      <c r="D8" s="10">
        <v>0.05</v>
      </c>
    </row>
    <row r="9" spans="1:6" x14ac:dyDescent="0.3">
      <c r="A9" s="9" t="s">
        <v>84</v>
      </c>
      <c r="B9" s="17">
        <v>0.11</v>
      </c>
      <c r="C9" s="24">
        <v>0.08</v>
      </c>
      <c r="D9" s="10">
        <v>0.15</v>
      </c>
    </row>
    <row r="10" spans="1:6" x14ac:dyDescent="0.3">
      <c r="A10" s="11" t="s">
        <v>30</v>
      </c>
      <c r="B10" s="18">
        <v>9.6849999999999992E-2</v>
      </c>
      <c r="C10" s="25">
        <v>7.6849999999999988E-2</v>
      </c>
      <c r="D10" s="12">
        <v>0.11685</v>
      </c>
    </row>
    <row r="13" spans="1:6" x14ac:dyDescent="0.3">
      <c r="A13" s="367" t="s">
        <v>32</v>
      </c>
      <c r="B13" s="368"/>
      <c r="C13" s="368"/>
      <c r="D13" s="369"/>
    </row>
    <row r="14" spans="1:6" x14ac:dyDescent="0.3">
      <c r="A14" s="6" t="s">
        <v>27</v>
      </c>
      <c r="B14" s="7" t="s">
        <v>8</v>
      </c>
      <c r="C14" s="7" t="s">
        <v>28</v>
      </c>
      <c r="D14" s="8" t="s">
        <v>29</v>
      </c>
    </row>
    <row r="15" spans="1:6" x14ac:dyDescent="0.3">
      <c r="A15" s="9" t="s">
        <v>15</v>
      </c>
      <c r="B15" s="17">
        <f ca="1">WACC!B15</f>
        <v>0.14123269794095872</v>
      </c>
      <c r="C15" s="23">
        <v>0.1</v>
      </c>
      <c r="D15" s="10">
        <v>0.15</v>
      </c>
    </row>
    <row r="16" spans="1:6" x14ac:dyDescent="0.3">
      <c r="A16" s="11" t="s">
        <v>16</v>
      </c>
      <c r="B16" s="18">
        <v>3.5000000000000003E-2</v>
      </c>
      <c r="C16" s="25">
        <v>4.5000000000000005E-2</v>
      </c>
      <c r="D16" s="12">
        <v>2.5000000000000001E-2</v>
      </c>
    </row>
    <row r="19" spans="1:4" x14ac:dyDescent="0.3">
      <c r="A19" s="367" t="s">
        <v>33</v>
      </c>
      <c r="B19" s="368"/>
      <c r="C19" s="368"/>
      <c r="D19" s="369"/>
    </row>
    <row r="20" spans="1:4" x14ac:dyDescent="0.3">
      <c r="A20" s="6" t="s">
        <v>27</v>
      </c>
      <c r="B20" s="7" t="s">
        <v>8</v>
      </c>
      <c r="C20" s="7" t="s">
        <v>28</v>
      </c>
      <c r="D20" s="8" t="s">
        <v>29</v>
      </c>
    </row>
    <row r="21" spans="1:4" x14ac:dyDescent="0.3">
      <c r="A21" s="9" t="s">
        <v>17</v>
      </c>
      <c r="B21" s="19">
        <v>24.95</v>
      </c>
      <c r="C21" s="26">
        <v>25.95</v>
      </c>
      <c r="D21" s="20">
        <v>23.95</v>
      </c>
    </row>
    <row r="22" spans="1:4" x14ac:dyDescent="0.3">
      <c r="A22" s="9" t="s">
        <v>34</v>
      </c>
      <c r="B22" s="21">
        <v>0.5</v>
      </c>
      <c r="C22" s="24">
        <v>0.55000000000000004</v>
      </c>
      <c r="D22" s="10">
        <v>0.45</v>
      </c>
    </row>
    <row r="23" spans="1:4" x14ac:dyDescent="0.3">
      <c r="A23" s="9" t="s">
        <v>35</v>
      </c>
      <c r="B23" s="17">
        <v>0.02</v>
      </c>
      <c r="C23" s="27">
        <v>0.02</v>
      </c>
      <c r="D23" s="13">
        <v>0.02</v>
      </c>
    </row>
    <row r="24" spans="1:4" x14ac:dyDescent="0.3">
      <c r="A24" s="9" t="s">
        <v>191</v>
      </c>
      <c r="B24" s="337">
        <v>3</v>
      </c>
      <c r="C24" s="338">
        <v>4</v>
      </c>
      <c r="D24" s="339">
        <v>5</v>
      </c>
    </row>
    <row r="25" spans="1:4" x14ac:dyDescent="0.3">
      <c r="A25" s="11" t="s">
        <v>18</v>
      </c>
      <c r="B25" s="22">
        <f>IRR_Sensitivity!J6</f>
        <v>24.95</v>
      </c>
      <c r="C25" s="28">
        <f>B25+1</f>
        <v>25.95</v>
      </c>
      <c r="D25" s="14">
        <f>B25-1</f>
        <v>23.95</v>
      </c>
    </row>
  </sheetData>
  <mergeCells count="4">
    <mergeCell ref="A4:D4"/>
    <mergeCell ref="A13:D13"/>
    <mergeCell ref="A19:D19"/>
    <mergeCell ref="A1: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27053-7B5C-4E9F-8AE7-1507B5C667BE}">
  <dimension ref="A1:G19"/>
  <sheetViews>
    <sheetView showGridLines="0" workbookViewId="0">
      <selection activeCell="D24" sqref="D24"/>
    </sheetView>
  </sheetViews>
  <sheetFormatPr defaultRowHeight="14.4" x14ac:dyDescent="0.3"/>
  <cols>
    <col min="1" max="1" width="39.44140625" style="1" customWidth="1"/>
    <col min="2" max="7" width="9.88671875" style="1" bestFit="1" customWidth="1"/>
    <col min="8" max="16384" width="8.88671875" style="1"/>
  </cols>
  <sheetData>
    <row r="1" spans="1:7" ht="23.4" x14ac:dyDescent="0.3">
      <c r="A1" s="371" t="s">
        <v>31</v>
      </c>
      <c r="B1" s="371"/>
      <c r="C1" s="371"/>
      <c r="D1" s="371"/>
      <c r="E1" s="371"/>
      <c r="F1" s="371"/>
      <c r="G1" s="371"/>
    </row>
    <row r="2" spans="1:7" x14ac:dyDescent="0.3">
      <c r="A2" s="363" t="s">
        <v>131</v>
      </c>
      <c r="B2" s="363"/>
      <c r="C2" s="363"/>
      <c r="D2" s="363"/>
      <c r="E2" s="363"/>
      <c r="F2" s="363"/>
      <c r="G2" s="363"/>
    </row>
    <row r="4" spans="1:7" x14ac:dyDescent="0.3">
      <c r="A4" s="170" t="s">
        <v>139</v>
      </c>
      <c r="B4" s="30" t="s">
        <v>36</v>
      </c>
      <c r="C4" s="29" t="s">
        <v>37</v>
      </c>
      <c r="D4" s="29" t="s">
        <v>38</v>
      </c>
      <c r="E4" s="29" t="s">
        <v>39</v>
      </c>
      <c r="F4" s="29" t="s">
        <v>40</v>
      </c>
      <c r="G4" s="29" t="s">
        <v>41</v>
      </c>
    </row>
    <row r="5" spans="1:7" x14ac:dyDescent="0.3">
      <c r="A5" s="31" t="s">
        <v>42</v>
      </c>
      <c r="B5" s="32"/>
      <c r="C5" s="32"/>
      <c r="D5" s="32"/>
      <c r="E5" s="32"/>
      <c r="F5" s="32"/>
      <c r="G5" s="33"/>
    </row>
    <row r="6" spans="1:7" x14ac:dyDescent="0.3">
      <c r="A6" s="9" t="s">
        <v>42</v>
      </c>
      <c r="B6" s="53">
        <v>12050.7</v>
      </c>
      <c r="C6" s="41">
        <f>B6*(1+C7)</f>
        <v>15201.958050000001</v>
      </c>
      <c r="D6" s="41">
        <f t="shared" ref="D6:G6" si="0">C6*(1+D7)</f>
        <v>18417.172177575001</v>
      </c>
      <c r="E6" s="41">
        <f t="shared" si="0"/>
        <v>21391.545484253362</v>
      </c>
      <c r="F6" s="41">
        <f t="shared" si="0"/>
        <v>24204.533715432677</v>
      </c>
      <c r="G6" s="42">
        <f t="shared" si="0"/>
        <v>27871.520573320726</v>
      </c>
    </row>
    <row r="7" spans="1:7" x14ac:dyDescent="0.3">
      <c r="A7" s="40" t="s">
        <v>43</v>
      </c>
      <c r="B7" s="57">
        <f>'Control Panel'!B8</f>
        <v>0.24149999999999999</v>
      </c>
      <c r="C7" s="43">
        <f>B7+0.02</f>
        <v>0.26150000000000001</v>
      </c>
      <c r="D7" s="43">
        <f>C7-0.05</f>
        <v>0.21150000000000002</v>
      </c>
      <c r="E7" s="43">
        <f>D7-0.05</f>
        <v>0.16150000000000003</v>
      </c>
      <c r="F7" s="43">
        <f>E7-0.03</f>
        <v>0.13150000000000003</v>
      </c>
      <c r="G7" s="44">
        <f>F7+0.02</f>
        <v>0.15150000000000002</v>
      </c>
    </row>
    <row r="8" spans="1:7" x14ac:dyDescent="0.3">
      <c r="A8" s="31" t="s">
        <v>44</v>
      </c>
      <c r="B8" s="34"/>
      <c r="C8" s="34"/>
      <c r="D8" s="34"/>
      <c r="E8" s="34"/>
      <c r="F8" s="34"/>
      <c r="G8" s="35"/>
    </row>
    <row r="9" spans="1:7" x14ac:dyDescent="0.3">
      <c r="A9" s="40" t="s">
        <v>10</v>
      </c>
      <c r="B9" s="58">
        <f>'Control Panel'!B9</f>
        <v>0.17249999999999999</v>
      </c>
      <c r="C9" s="45">
        <f>B9+0.01</f>
        <v>0.1825</v>
      </c>
      <c r="D9" s="45">
        <f>C9+0.01</f>
        <v>0.1925</v>
      </c>
      <c r="E9" s="45">
        <f>D9+0.01</f>
        <v>0.20250000000000001</v>
      </c>
      <c r="F9" s="45">
        <f>E9</f>
        <v>0.20250000000000001</v>
      </c>
      <c r="G9" s="46">
        <f>F9+0.0025</f>
        <v>0.20500000000000002</v>
      </c>
    </row>
    <row r="10" spans="1:7" x14ac:dyDescent="0.3">
      <c r="A10" s="9" t="s">
        <v>44</v>
      </c>
      <c r="B10" s="54">
        <f>B6*B9</f>
        <v>2078.74575</v>
      </c>
      <c r="C10" s="38">
        <f t="shared" ref="C10:G10" si="1">C6*C9</f>
        <v>2774.3573441250001</v>
      </c>
      <c r="D10" s="38">
        <f t="shared" si="1"/>
        <v>3545.3056441831877</v>
      </c>
      <c r="E10" s="38">
        <f t="shared" si="1"/>
        <v>4331.7879605613061</v>
      </c>
      <c r="F10" s="38">
        <f t="shared" si="1"/>
        <v>4901.4180773751177</v>
      </c>
      <c r="G10" s="39">
        <f t="shared" si="1"/>
        <v>5713.6617175307492</v>
      </c>
    </row>
    <row r="11" spans="1:7" x14ac:dyDescent="0.3">
      <c r="A11" s="31" t="s">
        <v>45</v>
      </c>
      <c r="B11" s="34"/>
      <c r="C11" s="34"/>
      <c r="D11" s="34"/>
      <c r="E11" s="34"/>
      <c r="F11" s="34"/>
      <c r="G11" s="35"/>
    </row>
    <row r="12" spans="1:7" x14ac:dyDescent="0.3">
      <c r="A12" s="40" t="s">
        <v>11</v>
      </c>
      <c r="B12" s="58">
        <f>'Control Panel'!B10</f>
        <v>0.04</v>
      </c>
      <c r="C12" s="45">
        <f>B12+0.01</f>
        <v>0.05</v>
      </c>
      <c r="D12" s="45">
        <f>C12</f>
        <v>0.05</v>
      </c>
      <c r="E12" s="45">
        <f t="shared" ref="E12:G12" si="2">D12</f>
        <v>0.05</v>
      </c>
      <c r="F12" s="45">
        <f t="shared" si="2"/>
        <v>0.05</v>
      </c>
      <c r="G12" s="46">
        <f t="shared" si="2"/>
        <v>0.05</v>
      </c>
    </row>
    <row r="13" spans="1:7" x14ac:dyDescent="0.3">
      <c r="A13" s="9" t="s">
        <v>45</v>
      </c>
      <c r="B13" s="54">
        <f>B6*B12</f>
        <v>482.02800000000002</v>
      </c>
      <c r="C13" s="38">
        <f t="shared" ref="C13:G13" si="3">C6*C12</f>
        <v>760.09790250000015</v>
      </c>
      <c r="D13" s="38">
        <f t="shared" si="3"/>
        <v>920.85860887875015</v>
      </c>
      <c r="E13" s="38">
        <f t="shared" si="3"/>
        <v>1069.577274212668</v>
      </c>
      <c r="F13" s="38">
        <f t="shared" si="3"/>
        <v>1210.2266857716338</v>
      </c>
      <c r="G13" s="39">
        <f t="shared" si="3"/>
        <v>1393.5760286660363</v>
      </c>
    </row>
    <row r="14" spans="1:7" x14ac:dyDescent="0.3">
      <c r="A14" s="31" t="s">
        <v>46</v>
      </c>
      <c r="B14" s="34"/>
      <c r="C14" s="34"/>
      <c r="D14" s="34"/>
      <c r="E14" s="34"/>
      <c r="F14" s="34"/>
      <c r="G14" s="35"/>
    </row>
    <row r="15" spans="1:7" x14ac:dyDescent="0.3">
      <c r="A15" s="40" t="s">
        <v>30</v>
      </c>
      <c r="B15" s="58">
        <f>'Control Panel'!B12</f>
        <v>9.6849999999999992E-2</v>
      </c>
      <c r="C15" s="47">
        <f>B15</f>
        <v>9.6849999999999992E-2</v>
      </c>
      <c r="D15" s="47">
        <f t="shared" ref="D15:G15" si="4">C15</f>
        <v>9.6849999999999992E-2</v>
      </c>
      <c r="E15" s="47">
        <f t="shared" si="4"/>
        <v>9.6849999999999992E-2</v>
      </c>
      <c r="F15" s="47">
        <f t="shared" si="4"/>
        <v>9.6849999999999992E-2</v>
      </c>
      <c r="G15" s="48">
        <f t="shared" si="4"/>
        <v>9.6849999999999992E-2</v>
      </c>
    </row>
    <row r="16" spans="1:7" x14ac:dyDescent="0.3">
      <c r="A16" s="9" t="s">
        <v>46</v>
      </c>
      <c r="B16" s="55">
        <f>B6*B15</f>
        <v>1167.110295</v>
      </c>
      <c r="C16" s="36">
        <f t="shared" ref="C16:G16" si="5">C6*C15</f>
        <v>1472.3096371424999</v>
      </c>
      <c r="D16" s="36">
        <f t="shared" si="5"/>
        <v>1783.7031253981388</v>
      </c>
      <c r="E16" s="36">
        <f t="shared" si="5"/>
        <v>2071.7711801499381</v>
      </c>
      <c r="F16" s="36">
        <f t="shared" si="5"/>
        <v>2344.2090903396547</v>
      </c>
      <c r="G16" s="37">
        <f t="shared" si="5"/>
        <v>2699.356767526112</v>
      </c>
    </row>
    <row r="17" spans="1:7" x14ac:dyDescent="0.3">
      <c r="A17" s="9" t="s">
        <v>47</v>
      </c>
      <c r="B17" s="56">
        <v>0</v>
      </c>
      <c r="C17" s="49">
        <f>C16-B16</f>
        <v>305.19934214249997</v>
      </c>
      <c r="D17" s="49">
        <f t="shared" ref="D17:G17" si="6">D16-C16</f>
        <v>311.39348825563889</v>
      </c>
      <c r="E17" s="49">
        <f t="shared" si="6"/>
        <v>288.06805475179931</v>
      </c>
      <c r="F17" s="49">
        <f t="shared" si="6"/>
        <v>272.4379101897166</v>
      </c>
      <c r="G17" s="50">
        <f t="shared" si="6"/>
        <v>355.14767718645726</v>
      </c>
    </row>
    <row r="18" spans="1:7" x14ac:dyDescent="0.3">
      <c r="A18" s="31" t="s">
        <v>48</v>
      </c>
      <c r="B18" s="32"/>
      <c r="C18" s="32"/>
      <c r="D18" s="32"/>
      <c r="E18" s="32"/>
      <c r="F18" s="32"/>
      <c r="G18" s="33"/>
    </row>
    <row r="19" spans="1:7" x14ac:dyDescent="0.3">
      <c r="A19" s="11" t="s">
        <v>48</v>
      </c>
      <c r="B19" s="59"/>
      <c r="C19" s="51">
        <f>C10-C13-C17</f>
        <v>1709.0600994824999</v>
      </c>
      <c r="D19" s="51">
        <f t="shared" ref="D19:G19" si="7">D10-D13-D17</f>
        <v>2313.0535470487985</v>
      </c>
      <c r="E19" s="51">
        <f t="shared" si="7"/>
        <v>2974.1426315968383</v>
      </c>
      <c r="F19" s="51">
        <f t="shared" si="7"/>
        <v>3418.7534814137671</v>
      </c>
      <c r="G19" s="52">
        <f t="shared" si="7"/>
        <v>3964.9380116782559</v>
      </c>
    </row>
  </sheetData>
  <mergeCells count="2">
    <mergeCell ref="A1:G1"/>
    <mergeCell ref="A2:G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248F8-FA73-45E7-AED5-4CA3AC136AC3}">
  <dimension ref="A1:G9"/>
  <sheetViews>
    <sheetView workbookViewId="0">
      <selection activeCell="A5" sqref="A5"/>
    </sheetView>
  </sheetViews>
  <sheetFormatPr defaultRowHeight="14.4" x14ac:dyDescent="0.3"/>
  <cols>
    <col min="1" max="1" width="33.21875" customWidth="1"/>
    <col min="2" max="7" width="9.88671875" style="61" bestFit="1" customWidth="1"/>
  </cols>
  <sheetData>
    <row r="1" spans="1:7" ht="21" x14ac:dyDescent="0.4">
      <c r="A1" s="372" t="s">
        <v>69</v>
      </c>
      <c r="B1" s="372"/>
      <c r="C1" s="372"/>
      <c r="D1" s="372"/>
      <c r="E1" s="372"/>
      <c r="F1" s="372"/>
      <c r="G1" s="372"/>
    </row>
    <row r="2" spans="1:7" x14ac:dyDescent="0.3">
      <c r="A2" s="363" t="s">
        <v>131</v>
      </c>
      <c r="B2" s="363"/>
      <c r="C2" s="363"/>
      <c r="D2" s="363"/>
      <c r="E2" s="363"/>
      <c r="F2" s="363"/>
      <c r="G2" s="363"/>
    </row>
    <row r="3" spans="1:7" x14ac:dyDescent="0.3">
      <c r="B3"/>
      <c r="C3"/>
      <c r="D3"/>
      <c r="E3"/>
      <c r="F3"/>
      <c r="G3"/>
    </row>
    <row r="4" spans="1:7" x14ac:dyDescent="0.3">
      <c r="A4" s="171" t="s">
        <v>139</v>
      </c>
      <c r="B4" s="62" t="s">
        <v>36</v>
      </c>
      <c r="C4" s="63" t="s">
        <v>37</v>
      </c>
      <c r="D4" s="63" t="s">
        <v>38</v>
      </c>
      <c r="E4" s="63" t="s">
        <v>39</v>
      </c>
      <c r="F4" s="63" t="s">
        <v>40</v>
      </c>
      <c r="G4" s="64" t="s">
        <v>41</v>
      </c>
    </row>
    <row r="5" spans="1:7" x14ac:dyDescent="0.3">
      <c r="A5" s="322" t="s">
        <v>70</v>
      </c>
      <c r="B5" s="324">
        <v>7682</v>
      </c>
      <c r="C5" s="71">
        <f>B9</f>
        <v>7736.4279999999999</v>
      </c>
      <c r="D5" s="71">
        <f t="shared" ref="D5:G5" si="0">C9</f>
        <v>8065.8962991675344</v>
      </c>
      <c r="E5" s="71">
        <f t="shared" si="0"/>
        <v>8537.7862465617709</v>
      </c>
      <c r="F5" s="71">
        <f t="shared" si="0"/>
        <v>9132.1282436291895</v>
      </c>
      <c r="G5" s="72">
        <f t="shared" si="0"/>
        <v>9834.0370386203176</v>
      </c>
    </row>
    <row r="6" spans="1:7" x14ac:dyDescent="0.3">
      <c r="A6" s="316"/>
      <c r="B6" s="317"/>
      <c r="C6" s="317"/>
      <c r="D6" s="317"/>
      <c r="E6" s="317"/>
      <c r="F6" s="317"/>
      <c r="G6" s="318"/>
    </row>
    <row r="7" spans="1:7" x14ac:dyDescent="0.3">
      <c r="A7" s="322" t="s">
        <v>45</v>
      </c>
      <c r="B7" s="325">
        <f>'Operating Drivers'!B13</f>
        <v>482.02800000000002</v>
      </c>
      <c r="C7" s="319">
        <f>'Operating Drivers'!C13</f>
        <v>760.09790250000015</v>
      </c>
      <c r="D7" s="319">
        <f>'Operating Drivers'!D13</f>
        <v>920.85860887875015</v>
      </c>
      <c r="E7" s="319">
        <f>'Operating Drivers'!E13</f>
        <v>1069.577274212668</v>
      </c>
      <c r="F7" s="319">
        <f>'Operating Drivers'!F13</f>
        <v>1210.2266857716338</v>
      </c>
      <c r="G7" s="320">
        <f>'Operating Drivers'!G13</f>
        <v>1393.5760286660363</v>
      </c>
    </row>
    <row r="8" spans="1:7" x14ac:dyDescent="0.3">
      <c r="A8" s="322" t="s">
        <v>52</v>
      </c>
      <c r="B8" s="326">
        <v>427.6</v>
      </c>
      <c r="C8" s="71">
        <f>C5*'Control Panel'!$B$11</f>
        <v>430.62960333246554</v>
      </c>
      <c r="D8" s="71">
        <f>D5*'Control Panel'!$B$11</f>
        <v>448.9686614845142</v>
      </c>
      <c r="E8" s="71">
        <f>E5*'Control Panel'!$B$11</f>
        <v>475.23527714525039</v>
      </c>
      <c r="F8" s="71">
        <f>F5*'Control Panel'!$B$11</f>
        <v>508.31789078050531</v>
      </c>
      <c r="G8" s="72">
        <f>G5*'Control Panel'!$B$11</f>
        <v>547.38795075684038</v>
      </c>
    </row>
    <row r="9" spans="1:7" x14ac:dyDescent="0.3">
      <c r="A9" s="323" t="s">
        <v>71</v>
      </c>
      <c r="B9" s="327">
        <f>B5+B7-B8</f>
        <v>7736.4279999999999</v>
      </c>
      <c r="C9" s="321">
        <f t="shared" ref="C9:G9" si="1">C5+C7-C8</f>
        <v>8065.8962991675344</v>
      </c>
      <c r="D9" s="321">
        <f t="shared" si="1"/>
        <v>8537.7862465617709</v>
      </c>
      <c r="E9" s="321">
        <f t="shared" si="1"/>
        <v>9132.1282436291895</v>
      </c>
      <c r="F9" s="321">
        <f t="shared" si="1"/>
        <v>9834.0370386203176</v>
      </c>
      <c r="G9" s="238">
        <f t="shared" si="1"/>
        <v>10680.225116529515</v>
      </c>
    </row>
  </sheetData>
  <mergeCells count="2">
    <mergeCell ref="A2:G2"/>
    <mergeCell ref="A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32525-7593-47C7-9043-EA67158BD318}">
  <dimension ref="A1:G12"/>
  <sheetViews>
    <sheetView workbookViewId="0">
      <selection activeCell="F18" sqref="F18"/>
    </sheetView>
  </sheetViews>
  <sheetFormatPr defaultRowHeight="14.4" x14ac:dyDescent="0.3"/>
  <cols>
    <col min="1" max="1" width="33.21875" style="1" customWidth="1"/>
    <col min="2" max="3" width="9.88671875" style="100" bestFit="1" customWidth="1"/>
    <col min="4" max="7" width="10.5546875" style="100" bestFit="1" customWidth="1"/>
    <col min="8" max="16384" width="8.88671875" style="100"/>
  </cols>
  <sheetData>
    <row r="1" spans="1:7" s="1" customFormat="1" ht="21" x14ac:dyDescent="0.3">
      <c r="A1" s="208" t="s">
        <v>81</v>
      </c>
    </row>
    <row r="2" spans="1:7" s="1" customFormat="1" x14ac:dyDescent="0.3">
      <c r="A2" s="363" t="s">
        <v>131</v>
      </c>
      <c r="B2" s="363"/>
      <c r="C2" s="363"/>
      <c r="D2" s="363"/>
      <c r="E2" s="363"/>
      <c r="F2" s="363"/>
      <c r="G2" s="363"/>
    </row>
    <row r="3" spans="1:7" s="1" customFormat="1" x14ac:dyDescent="0.3"/>
    <row r="4" spans="1:7" s="1" customFormat="1" x14ac:dyDescent="0.3">
      <c r="A4" s="171" t="s">
        <v>60</v>
      </c>
      <c r="B4" s="62" t="s">
        <v>36</v>
      </c>
      <c r="C4" s="63" t="s">
        <v>37</v>
      </c>
      <c r="D4" s="63" t="s">
        <v>38</v>
      </c>
      <c r="E4" s="63" t="s">
        <v>39</v>
      </c>
      <c r="F4" s="63" t="s">
        <v>40</v>
      </c>
      <c r="G4" s="64" t="s">
        <v>41</v>
      </c>
    </row>
    <row r="5" spans="1:7" x14ac:dyDescent="0.3">
      <c r="A5" s="294" t="s">
        <v>82</v>
      </c>
      <c r="B5" s="310">
        <f>3399+967</f>
        <v>4366</v>
      </c>
      <c r="C5" s="306">
        <f>B12</f>
        <v>7005</v>
      </c>
      <c r="D5" s="306">
        <f t="shared" ref="D5:G5" si="0">C12</f>
        <v>0</v>
      </c>
      <c r="E5" s="306">
        <f t="shared" si="0"/>
        <v>0</v>
      </c>
      <c r="F5" s="306">
        <f t="shared" si="0"/>
        <v>0</v>
      </c>
      <c r="G5" s="307">
        <f t="shared" si="0"/>
        <v>0</v>
      </c>
    </row>
    <row r="6" spans="1:7" x14ac:dyDescent="0.3">
      <c r="A6" s="295" t="s">
        <v>100</v>
      </c>
      <c r="B6" s="311">
        <v>6039</v>
      </c>
      <c r="C6" s="301">
        <v>0</v>
      </c>
      <c r="D6" s="301">
        <v>0</v>
      </c>
      <c r="E6" s="301">
        <v>0</v>
      </c>
      <c r="F6" s="301">
        <v>0</v>
      </c>
      <c r="G6" s="222">
        <v>0</v>
      </c>
    </row>
    <row r="7" spans="1:7" x14ac:dyDescent="0.3">
      <c r="A7" s="296" t="s">
        <v>83</v>
      </c>
      <c r="B7" s="312">
        <v>0.11</v>
      </c>
      <c r="C7" s="308">
        <f>B7</f>
        <v>0.11</v>
      </c>
      <c r="D7" s="308">
        <f t="shared" ref="D7:G7" si="1">C7</f>
        <v>0.11</v>
      </c>
      <c r="E7" s="308">
        <f t="shared" si="1"/>
        <v>0.11</v>
      </c>
      <c r="F7" s="308">
        <f t="shared" si="1"/>
        <v>0.11</v>
      </c>
      <c r="G7" s="309">
        <f t="shared" si="1"/>
        <v>0.11</v>
      </c>
    </row>
    <row r="8" spans="1:7" x14ac:dyDescent="0.3">
      <c r="A8" s="108"/>
      <c r="B8" s="297"/>
      <c r="C8" s="297"/>
      <c r="D8" s="297"/>
      <c r="E8" s="297"/>
      <c r="F8" s="297"/>
      <c r="G8" s="298"/>
    </row>
    <row r="9" spans="1:7" x14ac:dyDescent="0.3">
      <c r="A9" s="294" t="s">
        <v>55</v>
      </c>
      <c r="B9" s="313">
        <f>B7*AVERAGE(B5,B6)</f>
        <v>572.27499999999998</v>
      </c>
      <c r="C9" s="299">
        <f>C7*AVERAGE(C5,C6)</f>
        <v>385.27499999999998</v>
      </c>
      <c r="D9" s="299">
        <f t="shared" ref="D9:G9" si="2">D7*AVERAGE(D5,D6)</f>
        <v>0</v>
      </c>
      <c r="E9" s="299">
        <f>E7*AVERAGE(E5,E6)</f>
        <v>0</v>
      </c>
      <c r="F9" s="299">
        <f t="shared" si="2"/>
        <v>0</v>
      </c>
      <c r="G9" s="300">
        <f t="shared" si="2"/>
        <v>0</v>
      </c>
    </row>
    <row r="10" spans="1:7" x14ac:dyDescent="0.3">
      <c r="A10" s="295" t="s">
        <v>85</v>
      </c>
      <c r="B10" s="224">
        <f>Cash_Flow!B19</f>
        <v>6254.4617050000015</v>
      </c>
      <c r="C10" s="301">
        <f>Cash_Flow!C19</f>
        <v>8223.554424284368</v>
      </c>
      <c r="D10" s="301">
        <f>Cash_Flow!D19</f>
        <v>11604.240943415998</v>
      </c>
      <c r="E10" s="301">
        <f>Cash_Flow!E19</f>
        <v>15753.399952584159</v>
      </c>
      <c r="F10" s="301">
        <f>Cash_Flow!F19</f>
        <v>20494.331758892542</v>
      </c>
      <c r="G10" s="222">
        <f>Cash_Flow!G19</f>
        <v>25954.853386209394</v>
      </c>
    </row>
    <row r="11" spans="1:7" x14ac:dyDescent="0.3">
      <c r="A11" s="295" t="s">
        <v>86</v>
      </c>
      <c r="B11" s="314">
        <f>B5+B6-7005</f>
        <v>3400</v>
      </c>
      <c r="C11" s="302">
        <f>MIN(C10,C5+C6)</f>
        <v>7005</v>
      </c>
      <c r="D11" s="302">
        <f t="shared" ref="D11:G11" si="3">MIN(D10,D5+D6)</f>
        <v>0</v>
      </c>
      <c r="E11" s="302">
        <f t="shared" si="3"/>
        <v>0</v>
      </c>
      <c r="F11" s="302">
        <f t="shared" si="3"/>
        <v>0</v>
      </c>
      <c r="G11" s="303">
        <f t="shared" si="3"/>
        <v>0</v>
      </c>
    </row>
    <row r="12" spans="1:7" x14ac:dyDescent="0.3">
      <c r="A12" s="296" t="s">
        <v>87</v>
      </c>
      <c r="B12" s="315">
        <f>B5+B6-B11</f>
        <v>7005</v>
      </c>
      <c r="C12" s="304">
        <f>C5+C6-C11</f>
        <v>0</v>
      </c>
      <c r="D12" s="304">
        <f>D5+D6-D11</f>
        <v>0</v>
      </c>
      <c r="E12" s="304">
        <f t="shared" ref="E12:G12" si="4">E5+E6-E11</f>
        <v>0</v>
      </c>
      <c r="F12" s="304">
        <f t="shared" si="4"/>
        <v>0</v>
      </c>
      <c r="G12" s="305">
        <f t="shared" si="4"/>
        <v>0</v>
      </c>
    </row>
  </sheetData>
  <mergeCells count="1">
    <mergeCell ref="A2:G2"/>
  </mergeCells>
  <pageMargins left="0.7" right="0.7" top="0.75" bottom="0.75" header="0.3" footer="0.3"/>
  <ignoredErrors>
    <ignoredError sqref="C9"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17377-50B1-41D2-88CB-AB8DD84A7F20}">
  <dimension ref="A1:G19"/>
  <sheetViews>
    <sheetView showGridLines="0" workbookViewId="0">
      <selection activeCell="A4" sqref="A4"/>
    </sheetView>
  </sheetViews>
  <sheetFormatPr defaultRowHeight="14.4" x14ac:dyDescent="0.3"/>
  <cols>
    <col min="1" max="1" width="33.21875" customWidth="1"/>
    <col min="2" max="7" width="9.88671875" style="61" bestFit="1" customWidth="1"/>
    <col min="8" max="9" width="9.88671875" bestFit="1" customWidth="1"/>
  </cols>
  <sheetData>
    <row r="1" spans="1:7" ht="25.8" x14ac:dyDescent="0.3">
      <c r="A1" s="373" t="s">
        <v>50</v>
      </c>
      <c r="B1" s="373"/>
      <c r="C1" s="373"/>
      <c r="D1" s="373"/>
      <c r="E1" s="373"/>
      <c r="F1" s="373"/>
      <c r="G1" s="373"/>
    </row>
    <row r="2" spans="1:7" x14ac:dyDescent="0.3">
      <c r="A2" s="363" t="s">
        <v>131</v>
      </c>
      <c r="B2" s="363"/>
      <c r="C2" s="363"/>
      <c r="D2" s="363"/>
      <c r="E2" s="363"/>
      <c r="F2" s="363"/>
      <c r="G2" s="363"/>
    </row>
    <row r="3" spans="1:7" x14ac:dyDescent="0.3">
      <c r="B3"/>
      <c r="C3"/>
      <c r="D3"/>
      <c r="E3"/>
      <c r="F3"/>
      <c r="G3"/>
    </row>
    <row r="4" spans="1:7" x14ac:dyDescent="0.3">
      <c r="A4" s="171" t="s">
        <v>139</v>
      </c>
      <c r="B4" s="62" t="s">
        <v>36</v>
      </c>
      <c r="C4" s="63" t="s">
        <v>37</v>
      </c>
      <c r="D4" s="63" t="s">
        <v>38</v>
      </c>
      <c r="E4" s="63" t="s">
        <v>39</v>
      </c>
      <c r="F4" s="63" t="s">
        <v>40</v>
      </c>
      <c r="G4" s="64" t="s">
        <v>41</v>
      </c>
    </row>
    <row r="5" spans="1:7" x14ac:dyDescent="0.3">
      <c r="A5" s="65" t="s">
        <v>51</v>
      </c>
      <c r="B5" s="66"/>
      <c r="C5" s="66"/>
      <c r="D5" s="66"/>
      <c r="E5" s="66"/>
      <c r="F5" s="66"/>
      <c r="G5" s="67"/>
    </row>
    <row r="6" spans="1:7" x14ac:dyDescent="0.3">
      <c r="A6" s="75" t="s">
        <v>42</v>
      </c>
      <c r="B6" s="93">
        <f>'Operating Drivers'!B6</f>
        <v>12050.7</v>
      </c>
      <c r="C6" s="76">
        <f>'Operating Drivers'!C6</f>
        <v>15201.958050000001</v>
      </c>
      <c r="D6" s="76">
        <f>'Operating Drivers'!D6</f>
        <v>18417.172177575001</v>
      </c>
      <c r="E6" s="76">
        <f>'Operating Drivers'!E6</f>
        <v>21391.545484253362</v>
      </c>
      <c r="F6" s="76">
        <f>'Operating Drivers'!F6</f>
        <v>24204.533715432677</v>
      </c>
      <c r="G6" s="77">
        <f>'Operating Drivers'!G6</f>
        <v>27871.520573320726</v>
      </c>
    </row>
    <row r="7" spans="1:7" x14ac:dyDescent="0.3">
      <c r="A7" s="68"/>
      <c r="B7" s="69"/>
      <c r="C7" s="69"/>
      <c r="D7" s="69"/>
      <c r="E7" s="69"/>
      <c r="F7" s="69"/>
      <c r="G7" s="70"/>
    </row>
    <row r="8" spans="1:7" x14ac:dyDescent="0.3">
      <c r="A8" s="78" t="s">
        <v>44</v>
      </c>
      <c r="B8" s="94">
        <f>'Operating Drivers'!B10</f>
        <v>2078.74575</v>
      </c>
      <c r="C8" s="79">
        <f>'Operating Drivers'!C10</f>
        <v>2774.3573441250001</v>
      </c>
      <c r="D8" s="79">
        <f>'Operating Drivers'!D10</f>
        <v>3545.3056441831877</v>
      </c>
      <c r="E8" s="79">
        <f>'Operating Drivers'!E10</f>
        <v>4331.7879605613061</v>
      </c>
      <c r="F8" s="79">
        <f>'Operating Drivers'!F10</f>
        <v>4901.4180773751177</v>
      </c>
      <c r="G8" s="80">
        <f>'Operating Drivers'!G10</f>
        <v>5713.6617175307492</v>
      </c>
    </row>
    <row r="9" spans="1:7" x14ac:dyDescent="0.3">
      <c r="A9" s="81" t="s">
        <v>52</v>
      </c>
      <c r="B9" s="95">
        <f>Capex_Depreciation!B8</f>
        <v>427.6</v>
      </c>
      <c r="C9" s="82">
        <f>Capex_Depreciation!C8</f>
        <v>430.62960333246554</v>
      </c>
      <c r="D9" s="82">
        <f>Capex_Depreciation!D8</f>
        <v>448.9686614845142</v>
      </c>
      <c r="E9" s="82">
        <f>Capex_Depreciation!E8</f>
        <v>475.23527714525039</v>
      </c>
      <c r="F9" s="82">
        <f>Capex_Depreciation!F8</f>
        <v>508.31789078050531</v>
      </c>
      <c r="G9" s="83">
        <f>Capex_Depreciation!G8</f>
        <v>547.38795075684038</v>
      </c>
    </row>
    <row r="10" spans="1:7" x14ac:dyDescent="0.3">
      <c r="A10" s="68"/>
      <c r="B10" s="69"/>
      <c r="C10" s="69"/>
      <c r="D10" s="69"/>
      <c r="E10" s="69"/>
      <c r="F10" s="69"/>
      <c r="G10" s="70"/>
    </row>
    <row r="11" spans="1:7" x14ac:dyDescent="0.3">
      <c r="A11" s="84" t="s">
        <v>54</v>
      </c>
      <c r="B11" s="96">
        <f>B8-B9</f>
        <v>1651.1457500000001</v>
      </c>
      <c r="C11" s="85">
        <f t="shared" ref="C11:G11" si="0">C8-C9</f>
        <v>2343.7277407925344</v>
      </c>
      <c r="D11" s="85">
        <f t="shared" si="0"/>
        <v>3096.3369826986736</v>
      </c>
      <c r="E11" s="85">
        <f t="shared" si="0"/>
        <v>3856.5526834160555</v>
      </c>
      <c r="F11" s="85">
        <f t="shared" si="0"/>
        <v>4393.1001865946128</v>
      </c>
      <c r="G11" s="86">
        <f t="shared" si="0"/>
        <v>5166.2737667739093</v>
      </c>
    </row>
    <row r="12" spans="1:7" x14ac:dyDescent="0.3">
      <c r="A12" s="68"/>
      <c r="B12" s="69"/>
      <c r="C12" s="69"/>
      <c r="D12" s="69"/>
      <c r="E12" s="69"/>
      <c r="F12" s="69"/>
      <c r="G12" s="70"/>
    </row>
    <row r="13" spans="1:7" x14ac:dyDescent="0.3">
      <c r="A13" s="84" t="s">
        <v>55</v>
      </c>
      <c r="B13" s="97">
        <f>Debt_Interest!B9</f>
        <v>572.27499999999998</v>
      </c>
      <c r="C13" s="87">
        <f>Debt_Interest!C9</f>
        <v>385.27499999999998</v>
      </c>
      <c r="D13" s="87">
        <f>Debt_Interest!D9</f>
        <v>0</v>
      </c>
      <c r="E13" s="87">
        <f>Debt_Interest!E9</f>
        <v>0</v>
      </c>
      <c r="F13" s="87">
        <f>Debt_Interest!F9</f>
        <v>0</v>
      </c>
      <c r="G13" s="88">
        <f>Debt_Interest!G9</f>
        <v>0</v>
      </c>
    </row>
    <row r="14" spans="1:7" x14ac:dyDescent="0.3">
      <c r="A14" s="68"/>
      <c r="B14" s="71"/>
      <c r="C14" s="71"/>
      <c r="D14" s="71"/>
      <c r="E14" s="71"/>
      <c r="F14" s="71"/>
      <c r="G14" s="72"/>
    </row>
    <row r="15" spans="1:7" x14ac:dyDescent="0.3">
      <c r="A15" s="75" t="s">
        <v>56</v>
      </c>
      <c r="B15" s="98">
        <f>B11-B13</f>
        <v>1078.87075</v>
      </c>
      <c r="C15" s="89">
        <f t="shared" ref="C15:G15" si="1">C11-C13</f>
        <v>1958.4527407925343</v>
      </c>
      <c r="D15" s="89">
        <f t="shared" si="1"/>
        <v>3096.3369826986736</v>
      </c>
      <c r="E15" s="89">
        <f t="shared" si="1"/>
        <v>3856.5526834160555</v>
      </c>
      <c r="F15" s="89">
        <f t="shared" si="1"/>
        <v>4393.1001865946128</v>
      </c>
      <c r="G15" s="90">
        <f t="shared" si="1"/>
        <v>5166.2737667739093</v>
      </c>
    </row>
    <row r="16" spans="1:7" x14ac:dyDescent="0.3">
      <c r="A16" s="68"/>
      <c r="B16" s="71"/>
      <c r="C16" s="71"/>
      <c r="D16" s="71"/>
      <c r="E16" s="71"/>
      <c r="F16" s="71"/>
      <c r="G16" s="72"/>
    </row>
    <row r="17" spans="1:7" x14ac:dyDescent="0.3">
      <c r="A17" s="84" t="s">
        <v>57</v>
      </c>
      <c r="B17" s="99">
        <f>B15*'Control Panel'!$B$14</f>
        <v>269.71768750000001</v>
      </c>
      <c r="C17" s="91">
        <f>C15*'Control Panel'!$B$14</f>
        <v>489.61318519813358</v>
      </c>
      <c r="D17" s="91">
        <f>D15*'Control Panel'!$B$14</f>
        <v>774.08424567466841</v>
      </c>
      <c r="E17" s="91">
        <f>E15*'Control Panel'!$B$14</f>
        <v>964.13817085401388</v>
      </c>
      <c r="F17" s="91">
        <f>F15*'Control Panel'!$B$14</f>
        <v>1098.2750466486532</v>
      </c>
      <c r="G17" s="92">
        <f>G15*'Control Panel'!$B$14</f>
        <v>1291.5684416934773</v>
      </c>
    </row>
    <row r="18" spans="1:7" x14ac:dyDescent="0.3">
      <c r="A18" s="68"/>
      <c r="B18" s="73"/>
      <c r="C18" s="73"/>
      <c r="D18" s="73"/>
      <c r="E18" s="73"/>
      <c r="F18" s="73"/>
      <c r="G18" s="74"/>
    </row>
    <row r="19" spans="1:7" x14ac:dyDescent="0.3">
      <c r="A19" s="75" t="s">
        <v>59</v>
      </c>
      <c r="B19" s="98">
        <f>B15-B17</f>
        <v>809.15306250000003</v>
      </c>
      <c r="C19" s="89">
        <f t="shared" ref="C19:G19" si="2">C15-C17</f>
        <v>1468.8395555944007</v>
      </c>
      <c r="D19" s="89">
        <f t="shared" si="2"/>
        <v>2322.252737024005</v>
      </c>
      <c r="E19" s="89">
        <f t="shared" si="2"/>
        <v>2892.4145125620416</v>
      </c>
      <c r="F19" s="89">
        <f t="shared" si="2"/>
        <v>3294.8251399459596</v>
      </c>
      <c r="G19" s="90">
        <f t="shared" si="2"/>
        <v>3874.705325080432</v>
      </c>
    </row>
  </sheetData>
  <mergeCells count="2">
    <mergeCell ref="A1:G1"/>
    <mergeCell ref="A2:G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55FF7-0245-4A00-9525-A51CD8C83394}">
  <dimension ref="A1:G23"/>
  <sheetViews>
    <sheetView workbookViewId="0">
      <selection activeCell="C25" sqref="C25"/>
    </sheetView>
  </sheetViews>
  <sheetFormatPr defaultRowHeight="14.4" x14ac:dyDescent="0.3"/>
  <cols>
    <col min="1" max="1" width="33.21875" style="1" customWidth="1"/>
    <col min="2" max="7" width="11" style="100" bestFit="1" customWidth="1"/>
    <col min="8" max="16384" width="8.88671875" style="100"/>
  </cols>
  <sheetData>
    <row r="1" spans="1:7" s="1" customFormat="1" ht="25.8" x14ac:dyDescent="0.3">
      <c r="A1" s="374" t="s">
        <v>61</v>
      </c>
      <c r="B1" s="374"/>
      <c r="C1" s="374"/>
      <c r="D1" s="374"/>
      <c r="E1" s="374"/>
      <c r="F1" s="374"/>
      <c r="G1" s="374"/>
    </row>
    <row r="2" spans="1:7" s="1" customFormat="1" ht="15.6" customHeight="1" x14ac:dyDescent="0.3">
      <c r="A2" s="363" t="s">
        <v>131</v>
      </c>
      <c r="B2" s="363"/>
      <c r="C2" s="363"/>
      <c r="D2" s="363"/>
      <c r="E2" s="363"/>
      <c r="F2" s="363"/>
      <c r="G2" s="363"/>
    </row>
    <row r="3" spans="1:7" s="1" customFormat="1" x14ac:dyDescent="0.3"/>
    <row r="4" spans="1:7" s="1" customFormat="1" x14ac:dyDescent="0.3">
      <c r="A4" s="180" t="s">
        <v>139</v>
      </c>
      <c r="B4" s="120" t="s">
        <v>36</v>
      </c>
      <c r="C4" s="121" t="s">
        <v>37</v>
      </c>
      <c r="D4" s="121" t="s">
        <v>38</v>
      </c>
      <c r="E4" s="121" t="s">
        <v>39</v>
      </c>
      <c r="F4" s="121" t="s">
        <v>40</v>
      </c>
      <c r="G4" s="122" t="s">
        <v>41</v>
      </c>
    </row>
    <row r="5" spans="1:7" s="1" customFormat="1" x14ac:dyDescent="0.3">
      <c r="A5" s="101" t="s">
        <v>62</v>
      </c>
      <c r="B5" s="102"/>
      <c r="C5" s="102"/>
      <c r="D5" s="102"/>
      <c r="E5" s="102"/>
      <c r="F5" s="102"/>
      <c r="G5" s="103"/>
    </row>
    <row r="6" spans="1:7" s="1" customFormat="1" x14ac:dyDescent="0.3">
      <c r="A6" s="126" t="s">
        <v>63</v>
      </c>
      <c r="B6" s="147"/>
      <c r="C6" s="147"/>
      <c r="D6" s="147"/>
      <c r="E6" s="147"/>
      <c r="F6" s="147"/>
      <c r="G6" s="148"/>
    </row>
    <row r="7" spans="1:7" s="1" customFormat="1" x14ac:dyDescent="0.3">
      <c r="A7" s="123" t="s">
        <v>64</v>
      </c>
      <c r="B7" s="281">
        <f>B23-(B8+B12+B13+B14)</f>
        <v>6254.4617050000015</v>
      </c>
      <c r="C7" s="134">
        <f t="shared" ref="C7:G7" si="0">C23-(C8+C12+C13+C14)</f>
        <v>-576.05287381003291</v>
      </c>
      <c r="D7" s="134">
        <f t="shared" si="0"/>
        <v>109.50324613449629</v>
      </c>
      <c r="E7" s="134">
        <f t="shared" si="0"/>
        <v>1549.3459313392668</v>
      </c>
      <c r="F7" s="134">
        <f t="shared" si="0"/>
        <v>3467.4137387204682</v>
      </c>
      <c r="G7" s="135">
        <f t="shared" si="0"/>
        <v>5560.9031235707662</v>
      </c>
    </row>
    <row r="8" spans="1:7" s="1" customFormat="1" x14ac:dyDescent="0.3">
      <c r="A8" s="9" t="s">
        <v>65</v>
      </c>
      <c r="B8" s="282">
        <f>'Operating Drivers'!B16</f>
        <v>1167.110295</v>
      </c>
      <c r="C8" s="149">
        <f>'Operating Drivers'!C16</f>
        <v>1472.3096371424999</v>
      </c>
      <c r="D8" s="149">
        <f>'Operating Drivers'!D16</f>
        <v>1783.7031253981388</v>
      </c>
      <c r="E8" s="149">
        <f>'Operating Drivers'!E16</f>
        <v>2071.7711801499381</v>
      </c>
      <c r="F8" s="149">
        <f>'Operating Drivers'!F16</f>
        <v>2344.2090903396547</v>
      </c>
      <c r="G8" s="104">
        <f>'Operating Drivers'!G16</f>
        <v>2699.356767526112</v>
      </c>
    </row>
    <row r="9" spans="1:7" s="1" customFormat="1" x14ac:dyDescent="0.3">
      <c r="A9" s="117" t="s">
        <v>66</v>
      </c>
      <c r="B9" s="283">
        <f t="shared" ref="B9:G9" si="1">SUM(B7:B8)</f>
        <v>7421.5720000000019</v>
      </c>
      <c r="C9" s="124">
        <f t="shared" si="1"/>
        <v>896.25676333246702</v>
      </c>
      <c r="D9" s="124">
        <f t="shared" si="1"/>
        <v>1893.2063715326351</v>
      </c>
      <c r="E9" s="124">
        <f t="shared" si="1"/>
        <v>3621.1171114892049</v>
      </c>
      <c r="F9" s="124">
        <f t="shared" si="1"/>
        <v>5811.622829060123</v>
      </c>
      <c r="G9" s="125">
        <f t="shared" si="1"/>
        <v>8260.2598910968773</v>
      </c>
    </row>
    <row r="10" spans="1:7" s="1" customFormat="1" x14ac:dyDescent="0.3">
      <c r="A10" s="127"/>
      <c r="B10" s="137"/>
      <c r="C10" s="137"/>
      <c r="D10" s="137"/>
      <c r="E10" s="137"/>
      <c r="F10" s="137"/>
      <c r="G10" s="138"/>
    </row>
    <row r="11" spans="1:7" s="1" customFormat="1" x14ac:dyDescent="0.3">
      <c r="A11" s="101" t="s">
        <v>67</v>
      </c>
      <c r="B11" s="102"/>
      <c r="C11" s="102"/>
      <c r="D11" s="102"/>
      <c r="E11" s="102"/>
      <c r="F11" s="102"/>
      <c r="G11" s="103"/>
    </row>
    <row r="12" spans="1:7" s="1" customFormat="1" x14ac:dyDescent="0.3">
      <c r="A12" s="123" t="s">
        <v>68</v>
      </c>
      <c r="B12" s="284">
        <f>Capex_Depreciation!B9</f>
        <v>7736.4279999999999</v>
      </c>
      <c r="C12" s="128">
        <f>Capex_Depreciation!C9</f>
        <v>8065.8962991675344</v>
      </c>
      <c r="D12" s="128">
        <f>Capex_Depreciation!D9</f>
        <v>8537.7862465617709</v>
      </c>
      <c r="E12" s="128">
        <f>Capex_Depreciation!E9</f>
        <v>9132.1282436291895</v>
      </c>
      <c r="F12" s="128">
        <f>Capex_Depreciation!F9</f>
        <v>9834.0370386203176</v>
      </c>
      <c r="G12" s="129">
        <f>Capex_Depreciation!G9</f>
        <v>10680.225116529515</v>
      </c>
    </row>
    <row r="13" spans="1:7" s="1" customFormat="1" x14ac:dyDescent="0.3">
      <c r="A13" s="9" t="s">
        <v>72</v>
      </c>
      <c r="B13" s="285">
        <v>5913</v>
      </c>
      <c r="C13" s="111">
        <v>5913</v>
      </c>
      <c r="D13" s="111">
        <v>5913</v>
      </c>
      <c r="E13" s="111">
        <v>5913</v>
      </c>
      <c r="F13" s="111">
        <v>5913</v>
      </c>
      <c r="G13" s="112">
        <v>5913</v>
      </c>
    </row>
    <row r="14" spans="1:7" s="1" customFormat="1" x14ac:dyDescent="0.3">
      <c r="A14" s="9" t="s">
        <v>80</v>
      </c>
      <c r="B14" s="285">
        <f>38430+11296</f>
        <v>49726</v>
      </c>
      <c r="C14" s="111">
        <f t="shared" ref="C14:G14" si="2">38430+11296</f>
        <v>49726</v>
      </c>
      <c r="D14" s="111">
        <f t="shared" si="2"/>
        <v>49726</v>
      </c>
      <c r="E14" s="111">
        <f t="shared" si="2"/>
        <v>49726</v>
      </c>
      <c r="F14" s="111">
        <f t="shared" si="2"/>
        <v>49726</v>
      </c>
      <c r="G14" s="112">
        <f t="shared" si="2"/>
        <v>49726</v>
      </c>
    </row>
    <row r="15" spans="1:7" s="1" customFormat="1" x14ac:dyDescent="0.3">
      <c r="A15" s="105" t="s">
        <v>73</v>
      </c>
      <c r="B15" s="286">
        <f>SUM(B12:B14)</f>
        <v>63375.428</v>
      </c>
      <c r="C15" s="106">
        <f t="shared" ref="C15:G15" si="3">SUM(C12:C14)</f>
        <v>63704.896299167536</v>
      </c>
      <c r="D15" s="106">
        <f t="shared" si="3"/>
        <v>64176.786246561773</v>
      </c>
      <c r="E15" s="106">
        <f t="shared" si="3"/>
        <v>64771.128243629188</v>
      </c>
      <c r="F15" s="106">
        <f t="shared" si="3"/>
        <v>65473.037038620314</v>
      </c>
      <c r="G15" s="107">
        <f t="shared" si="3"/>
        <v>66319.225116529517</v>
      </c>
    </row>
    <row r="16" spans="1:7" s="1" customFormat="1" x14ac:dyDescent="0.3">
      <c r="A16" s="117" t="s">
        <v>74</v>
      </c>
      <c r="B16" s="283">
        <f t="shared" ref="B16:G16" si="4">B9+B15</f>
        <v>70797</v>
      </c>
      <c r="C16" s="124">
        <f t="shared" si="4"/>
        <v>64601.153062500001</v>
      </c>
      <c r="D16" s="124">
        <f t="shared" si="4"/>
        <v>66069.992618094402</v>
      </c>
      <c r="E16" s="124">
        <f t="shared" si="4"/>
        <v>68392.245355118386</v>
      </c>
      <c r="F16" s="124">
        <f t="shared" si="4"/>
        <v>71284.659867680442</v>
      </c>
      <c r="G16" s="125">
        <f t="shared" si="4"/>
        <v>74579.485007626397</v>
      </c>
    </row>
    <row r="17" spans="1:7" s="1" customFormat="1" x14ac:dyDescent="0.3">
      <c r="A17" s="108"/>
      <c r="B17" s="109"/>
      <c r="C17" s="109"/>
      <c r="D17" s="109"/>
      <c r="E17" s="109"/>
      <c r="F17" s="109"/>
      <c r="G17" s="110"/>
    </row>
    <row r="18" spans="1:7" x14ac:dyDescent="0.3">
      <c r="A18" s="123" t="s">
        <v>75</v>
      </c>
      <c r="B18" s="287">
        <f>Debt_Interest!B12</f>
        <v>7005</v>
      </c>
      <c r="C18" s="292">
        <f>Debt_Interest!C12</f>
        <v>0</v>
      </c>
      <c r="D18" s="292">
        <f>Debt_Interest!D12</f>
        <v>0</v>
      </c>
      <c r="E18" s="292">
        <f>Debt_Interest!E12</f>
        <v>0</v>
      </c>
      <c r="F18" s="292">
        <f>Debt_Interest!F12</f>
        <v>0</v>
      </c>
      <c r="G18" s="293">
        <f>Debt_Interest!G12</f>
        <v>0</v>
      </c>
    </row>
    <row r="19" spans="1:7" x14ac:dyDescent="0.3">
      <c r="A19" s="117" t="s">
        <v>76</v>
      </c>
      <c r="B19" s="288">
        <f t="shared" ref="B19:G19" si="5">SUM(B18:B18)</f>
        <v>7005</v>
      </c>
      <c r="C19" s="130">
        <f t="shared" si="5"/>
        <v>0</v>
      </c>
      <c r="D19" s="130">
        <f t="shared" si="5"/>
        <v>0</v>
      </c>
      <c r="E19" s="130">
        <f t="shared" si="5"/>
        <v>0</v>
      </c>
      <c r="F19" s="130">
        <f t="shared" si="5"/>
        <v>0</v>
      </c>
      <c r="G19" s="131">
        <f t="shared" si="5"/>
        <v>0</v>
      </c>
    </row>
    <row r="20" spans="1:7" x14ac:dyDescent="0.3">
      <c r="A20" s="108"/>
      <c r="B20" s="113"/>
      <c r="C20" s="113"/>
      <c r="D20" s="113"/>
      <c r="E20" s="113"/>
      <c r="F20" s="113"/>
      <c r="G20" s="114"/>
    </row>
    <row r="21" spans="1:7" x14ac:dyDescent="0.3">
      <c r="A21" s="123" t="s">
        <v>77</v>
      </c>
      <c r="B21" s="289">
        <v>669</v>
      </c>
      <c r="C21" s="132">
        <v>669</v>
      </c>
      <c r="D21" s="132">
        <v>669</v>
      </c>
      <c r="E21" s="132">
        <v>669</v>
      </c>
      <c r="F21" s="132">
        <v>669</v>
      </c>
      <c r="G21" s="133">
        <v>669</v>
      </c>
    </row>
    <row r="22" spans="1:7" x14ac:dyDescent="0.3">
      <c r="A22" s="9" t="s">
        <v>78</v>
      </c>
      <c r="B22" s="290">
        <v>63123</v>
      </c>
      <c r="C22" s="115">
        <f>B22+Income_Statement!B19</f>
        <v>63932.153062500001</v>
      </c>
      <c r="D22" s="115">
        <f>C22+Income_Statement!C19</f>
        <v>65400.992618094402</v>
      </c>
      <c r="E22" s="115">
        <f>D22+Income_Statement!D19</f>
        <v>67723.245355118401</v>
      </c>
      <c r="F22" s="115">
        <f>E22+Income_Statement!E19</f>
        <v>70615.659867680442</v>
      </c>
      <c r="G22" s="116">
        <f>F22+Income_Statement!F19</f>
        <v>73910.485007626397</v>
      </c>
    </row>
    <row r="23" spans="1:7" x14ac:dyDescent="0.3">
      <c r="A23" s="117" t="s">
        <v>79</v>
      </c>
      <c r="B23" s="291">
        <f>B19+B21+B22</f>
        <v>70797</v>
      </c>
      <c r="C23" s="118">
        <f t="shared" ref="C23:G23" si="6">C19+C21+C22</f>
        <v>64601.153062500001</v>
      </c>
      <c r="D23" s="118">
        <f t="shared" si="6"/>
        <v>66069.992618094402</v>
      </c>
      <c r="E23" s="118">
        <f t="shared" si="6"/>
        <v>68392.245355118401</v>
      </c>
      <c r="F23" s="118">
        <f t="shared" si="6"/>
        <v>71284.659867680442</v>
      </c>
      <c r="G23" s="119">
        <f t="shared" si="6"/>
        <v>74579.485007626397</v>
      </c>
    </row>
  </sheetData>
  <mergeCells count="2">
    <mergeCell ref="A1:G1"/>
    <mergeCell ref="A2:G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64BC3-CE9B-4E57-B764-BF70B71B9089}">
  <dimension ref="A1:G19"/>
  <sheetViews>
    <sheetView workbookViewId="0">
      <selection activeCell="B15" sqref="B15"/>
    </sheetView>
  </sheetViews>
  <sheetFormatPr defaultRowHeight="14.4" x14ac:dyDescent="0.3"/>
  <cols>
    <col min="1" max="1" width="33.21875" customWidth="1"/>
    <col min="2" max="2" width="11" bestFit="1" customWidth="1"/>
    <col min="3" max="3" width="9.88671875" bestFit="1" customWidth="1"/>
    <col min="4" max="7" width="11" bestFit="1" customWidth="1"/>
  </cols>
  <sheetData>
    <row r="1" spans="1:7" ht="21" x14ac:dyDescent="0.4">
      <c r="A1" s="372" t="s">
        <v>88</v>
      </c>
      <c r="B1" s="372"/>
      <c r="C1" s="372"/>
      <c r="D1" s="372"/>
      <c r="E1" s="372"/>
      <c r="F1" s="372"/>
      <c r="G1" s="372"/>
    </row>
    <row r="2" spans="1:7" x14ac:dyDescent="0.3">
      <c r="A2" s="363" t="s">
        <v>131</v>
      </c>
      <c r="B2" s="363"/>
      <c r="C2" s="363"/>
      <c r="D2" s="363"/>
      <c r="E2" s="363"/>
      <c r="F2" s="363"/>
      <c r="G2" s="363"/>
    </row>
    <row r="4" spans="1:7" x14ac:dyDescent="0.3">
      <c r="A4" s="180" t="s">
        <v>139</v>
      </c>
      <c r="B4" s="120" t="s">
        <v>36</v>
      </c>
      <c r="C4" s="121" t="s">
        <v>37</v>
      </c>
      <c r="D4" s="121" t="s">
        <v>38</v>
      </c>
      <c r="E4" s="121" t="s">
        <v>39</v>
      </c>
      <c r="F4" s="121" t="s">
        <v>40</v>
      </c>
      <c r="G4" s="122" t="s">
        <v>41</v>
      </c>
    </row>
    <row r="5" spans="1:7" x14ac:dyDescent="0.3">
      <c r="A5" s="144" t="s">
        <v>92</v>
      </c>
      <c r="B5" s="145"/>
      <c r="C5" s="145"/>
      <c r="D5" s="145"/>
      <c r="E5" s="145"/>
      <c r="F5" s="145"/>
      <c r="G5" s="146"/>
    </row>
    <row r="6" spans="1:7" x14ac:dyDescent="0.3">
      <c r="A6" s="267" t="s">
        <v>59</v>
      </c>
      <c r="B6" s="276">
        <f>Income_Statement!B19</f>
        <v>809.15306250000003</v>
      </c>
      <c r="C6" s="268">
        <f>Income_Statement!C19</f>
        <v>1468.8395555944007</v>
      </c>
      <c r="D6" s="268">
        <f>Income_Statement!D19</f>
        <v>2322.252737024005</v>
      </c>
      <c r="E6" s="268">
        <f>Income_Statement!E19</f>
        <v>2892.4145125620416</v>
      </c>
      <c r="F6" s="268">
        <f>Income_Statement!F19</f>
        <v>3294.8251399459596</v>
      </c>
      <c r="G6" s="269">
        <f>Income_Statement!G19</f>
        <v>3874.705325080432</v>
      </c>
    </row>
    <row r="7" spans="1:7" x14ac:dyDescent="0.3">
      <c r="A7" s="265" t="s">
        <v>52</v>
      </c>
      <c r="B7" s="277">
        <f>Income_Statement!B9</f>
        <v>427.6</v>
      </c>
      <c r="C7" s="142">
        <f>Income_Statement!C9</f>
        <v>430.62960333246554</v>
      </c>
      <c r="D7" s="142">
        <f>Income_Statement!D9</f>
        <v>448.9686614845142</v>
      </c>
      <c r="E7" s="142">
        <f>Income_Statement!E9</f>
        <v>475.23527714525039</v>
      </c>
      <c r="F7" s="142">
        <f>Income_Statement!F9</f>
        <v>508.31789078050531</v>
      </c>
      <c r="G7" s="143">
        <f>Income_Statement!G9</f>
        <v>547.38795075684038</v>
      </c>
    </row>
    <row r="8" spans="1:7" x14ac:dyDescent="0.3">
      <c r="A8" s="265" t="s">
        <v>89</v>
      </c>
      <c r="B8" s="277">
        <f>'Operating Drivers'!B17</f>
        <v>0</v>
      </c>
      <c r="C8" s="142">
        <f>'Operating Drivers'!C17</f>
        <v>305.19934214249997</v>
      </c>
      <c r="D8" s="142">
        <f>'Operating Drivers'!D17</f>
        <v>311.39348825563889</v>
      </c>
      <c r="E8" s="142">
        <f>'Operating Drivers'!E17</f>
        <v>288.06805475179931</v>
      </c>
      <c r="F8" s="142">
        <f>'Operating Drivers'!F17</f>
        <v>272.4379101897166</v>
      </c>
      <c r="G8" s="143">
        <f>'Operating Drivers'!G17</f>
        <v>355.14767718645726</v>
      </c>
    </row>
    <row r="9" spans="1:7" x14ac:dyDescent="0.3">
      <c r="A9" s="266" t="s">
        <v>90</v>
      </c>
      <c r="B9" s="278">
        <f>B6+B7-B8</f>
        <v>1236.7530624999999</v>
      </c>
      <c r="C9" s="150">
        <f t="shared" ref="C9:G9" si="0">C6+C7-C8</f>
        <v>1594.2698167843664</v>
      </c>
      <c r="D9" s="150">
        <f t="shared" si="0"/>
        <v>2459.8279102528804</v>
      </c>
      <c r="E9" s="150">
        <f t="shared" si="0"/>
        <v>3079.5817349554927</v>
      </c>
      <c r="F9" s="150">
        <f t="shared" si="0"/>
        <v>3530.7051205367484</v>
      </c>
      <c r="G9" s="151">
        <f t="shared" si="0"/>
        <v>4066.9455986508156</v>
      </c>
    </row>
    <row r="10" spans="1:7" x14ac:dyDescent="0.3">
      <c r="A10" s="139" t="s">
        <v>91</v>
      </c>
      <c r="B10" s="69"/>
      <c r="C10" s="69"/>
      <c r="D10" s="69"/>
      <c r="E10" s="69"/>
      <c r="F10" s="69"/>
      <c r="G10" s="70"/>
    </row>
    <row r="11" spans="1:7" x14ac:dyDescent="0.3">
      <c r="A11" s="267" t="s">
        <v>45</v>
      </c>
      <c r="B11" s="276">
        <f>Capex_Depreciation!B7</f>
        <v>482.02800000000002</v>
      </c>
      <c r="C11" s="268">
        <f>Capex_Depreciation!C7</f>
        <v>760.09790250000015</v>
      </c>
      <c r="D11" s="268">
        <f>Capex_Depreciation!D7</f>
        <v>920.85860887875015</v>
      </c>
      <c r="E11" s="268">
        <f>Capex_Depreciation!E7</f>
        <v>1069.577274212668</v>
      </c>
      <c r="F11" s="268">
        <f>Capex_Depreciation!F7</f>
        <v>1210.2266857716338</v>
      </c>
      <c r="G11" s="269">
        <f>Capex_Depreciation!G7</f>
        <v>1393.5760286660363</v>
      </c>
    </row>
    <row r="12" spans="1:7" x14ac:dyDescent="0.3">
      <c r="A12" s="266" t="s">
        <v>93</v>
      </c>
      <c r="B12" s="278">
        <f>B11</f>
        <v>482.02800000000002</v>
      </c>
      <c r="C12" s="150">
        <f t="shared" ref="C12:G12" si="1">C11</f>
        <v>760.09790250000015</v>
      </c>
      <c r="D12" s="150">
        <f t="shared" si="1"/>
        <v>920.85860887875015</v>
      </c>
      <c r="E12" s="150">
        <f t="shared" si="1"/>
        <v>1069.577274212668</v>
      </c>
      <c r="F12" s="150">
        <f t="shared" si="1"/>
        <v>1210.2266857716338</v>
      </c>
      <c r="G12" s="151">
        <f t="shared" si="1"/>
        <v>1393.5760286660363</v>
      </c>
    </row>
    <row r="13" spans="1:7" s="60" customFormat="1" x14ac:dyDescent="0.3">
      <c r="A13" s="139" t="s">
        <v>94</v>
      </c>
      <c r="B13" s="140"/>
      <c r="C13" s="140"/>
      <c r="D13" s="140"/>
      <c r="E13" s="140"/>
      <c r="F13" s="140"/>
      <c r="G13" s="141"/>
    </row>
    <row r="14" spans="1:7" x14ac:dyDescent="0.3">
      <c r="A14" s="267" t="s">
        <v>95</v>
      </c>
      <c r="B14" s="276">
        <f>Debt_Interest!B9</f>
        <v>572.27499999999998</v>
      </c>
      <c r="C14" s="268">
        <f>Debt_Interest!C9</f>
        <v>385.27499999999998</v>
      </c>
      <c r="D14" s="268">
        <f>Debt_Interest!D9</f>
        <v>0</v>
      </c>
      <c r="E14" s="268">
        <f>Debt_Interest!E9</f>
        <v>0</v>
      </c>
      <c r="F14" s="268">
        <f>Debt_Interest!F9</f>
        <v>0</v>
      </c>
      <c r="G14" s="269">
        <f>Debt_Interest!G9</f>
        <v>0</v>
      </c>
    </row>
    <row r="15" spans="1:7" x14ac:dyDescent="0.3">
      <c r="A15" s="265" t="s">
        <v>86</v>
      </c>
      <c r="B15" s="277"/>
      <c r="C15" s="142"/>
      <c r="D15" s="142"/>
      <c r="E15" s="142"/>
      <c r="F15" s="142"/>
      <c r="G15" s="143"/>
    </row>
    <row r="16" spans="1:7" s="60" customFormat="1" x14ac:dyDescent="0.3">
      <c r="A16" s="266" t="s">
        <v>96</v>
      </c>
      <c r="B16" s="278">
        <f>-B14-B15</f>
        <v>-572.27499999999998</v>
      </c>
      <c r="C16" s="150">
        <f t="shared" ref="C16:G16" si="2">-C14-C15</f>
        <v>-385.27499999999998</v>
      </c>
      <c r="D16" s="150">
        <f t="shared" si="2"/>
        <v>0</v>
      </c>
      <c r="E16" s="150">
        <f t="shared" si="2"/>
        <v>0</v>
      </c>
      <c r="F16" s="150">
        <f t="shared" si="2"/>
        <v>0</v>
      </c>
      <c r="G16" s="151">
        <f t="shared" si="2"/>
        <v>0</v>
      </c>
    </row>
    <row r="17" spans="1:7" x14ac:dyDescent="0.3">
      <c r="A17" s="265" t="s">
        <v>99</v>
      </c>
      <c r="B17" s="277">
        <f>B9+B12+B16</f>
        <v>1146.5060625000001</v>
      </c>
      <c r="C17" s="142">
        <f t="shared" ref="C17:G17" si="3">C9+C12+C16</f>
        <v>1969.0927192843665</v>
      </c>
      <c r="D17" s="142">
        <f t="shared" si="3"/>
        <v>3380.6865191316306</v>
      </c>
      <c r="E17" s="142">
        <f t="shared" si="3"/>
        <v>4149.159009168161</v>
      </c>
      <c r="F17" s="142">
        <f t="shared" si="3"/>
        <v>4740.931806308382</v>
      </c>
      <c r="G17" s="143">
        <f t="shared" si="3"/>
        <v>5460.5216273168517</v>
      </c>
    </row>
    <row r="18" spans="1:7" x14ac:dyDescent="0.3">
      <c r="A18" s="273" t="s">
        <v>97</v>
      </c>
      <c r="B18" s="279">
        <v>3213</v>
      </c>
      <c r="C18" s="274">
        <f>B19</f>
        <v>6254.4617050000015</v>
      </c>
      <c r="D18" s="274">
        <f t="shared" ref="D18:G18" si="4">C19</f>
        <v>8223.554424284368</v>
      </c>
      <c r="E18" s="274">
        <f t="shared" si="4"/>
        <v>11604.240943415998</v>
      </c>
      <c r="F18" s="274">
        <f t="shared" si="4"/>
        <v>15753.399952584159</v>
      </c>
      <c r="G18" s="275">
        <f t="shared" si="4"/>
        <v>20494.331758892542</v>
      </c>
    </row>
    <row r="19" spans="1:7" x14ac:dyDescent="0.3">
      <c r="A19" s="270" t="s">
        <v>98</v>
      </c>
      <c r="B19" s="280">
        <f>Balance_Sheet!B7</f>
        <v>6254.4617050000015</v>
      </c>
      <c r="C19" s="271">
        <f t="shared" ref="C19:G19" si="5">C17+C18</f>
        <v>8223.554424284368</v>
      </c>
      <c r="D19" s="271">
        <f t="shared" si="5"/>
        <v>11604.240943415998</v>
      </c>
      <c r="E19" s="271">
        <f t="shared" si="5"/>
        <v>15753.399952584159</v>
      </c>
      <c r="F19" s="271">
        <f t="shared" si="5"/>
        <v>20494.331758892542</v>
      </c>
      <c r="G19" s="272">
        <f t="shared" si="5"/>
        <v>25954.853386209394</v>
      </c>
    </row>
  </sheetData>
  <mergeCells count="2">
    <mergeCell ref="A2:G2"/>
    <mergeCell ref="A1:G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920CF-7761-4FCD-B631-684CFACCF9D5}">
  <dimension ref="A1:F17"/>
  <sheetViews>
    <sheetView workbookViewId="0">
      <selection activeCell="I13" sqref="I13"/>
    </sheetView>
  </sheetViews>
  <sheetFormatPr defaultRowHeight="14.4" x14ac:dyDescent="0.3"/>
  <cols>
    <col min="1" max="1" width="19.21875" style="1" bestFit="1" customWidth="1"/>
    <col min="2" max="2" width="9.88671875" style="2" bestFit="1" customWidth="1"/>
    <col min="3" max="4" width="8.88671875" style="1"/>
    <col min="5" max="5" width="19.21875" style="1" bestFit="1" customWidth="1"/>
    <col min="6" max="6" width="9.88671875" style="2" bestFit="1" customWidth="1"/>
    <col min="7" max="16384" width="8.88671875" style="1"/>
  </cols>
  <sheetData>
    <row r="1" spans="1:6" ht="21" x14ac:dyDescent="0.3">
      <c r="A1" s="208" t="s">
        <v>15</v>
      </c>
    </row>
    <row r="3" spans="1:6" x14ac:dyDescent="0.3">
      <c r="A3" s="153" t="s">
        <v>101</v>
      </c>
      <c r="B3" s="257"/>
      <c r="E3" s="153" t="s">
        <v>109</v>
      </c>
      <c r="F3" s="257"/>
    </row>
    <row r="4" spans="1:6" x14ac:dyDescent="0.3">
      <c r="A4" s="157" t="s">
        <v>102</v>
      </c>
      <c r="B4" s="261">
        <v>6.6000000000000003E-2</v>
      </c>
      <c r="E4" s="157" t="s">
        <v>110</v>
      </c>
      <c r="F4" s="258" cm="1">
        <f t="array" aca="1" ref="F4" ca="1">_FV(Cover!B6,"Market cap",TRUE)/10000000</f>
        <v>58220.21</v>
      </c>
    </row>
    <row r="5" spans="1:6" x14ac:dyDescent="0.3">
      <c r="A5" s="157" t="s">
        <v>103</v>
      </c>
      <c r="B5" s="261">
        <v>7.2599999999999998E-2</v>
      </c>
      <c r="E5" s="157" t="s">
        <v>111</v>
      </c>
      <c r="F5" s="259">
        <f>Balance_Sheet!B18</f>
        <v>7005</v>
      </c>
    </row>
    <row r="6" spans="1:6" x14ac:dyDescent="0.3">
      <c r="A6" s="157" t="s">
        <v>104</v>
      </c>
      <c r="B6" s="262" cm="1">
        <f t="array" aca="1" ref="B6" ca="1">_FV(Cover!B6,"Beta")</f>
        <v>1.1335999999999999</v>
      </c>
      <c r="E6" s="157" t="s">
        <v>112</v>
      </c>
      <c r="F6" s="259">
        <f ca="1">F4+F5</f>
        <v>65225.21</v>
      </c>
    </row>
    <row r="7" spans="1:6" x14ac:dyDescent="0.3">
      <c r="A7" s="159" t="s">
        <v>105</v>
      </c>
      <c r="B7" s="260">
        <f ca="1">B4+B5*B6</f>
        <v>0.14829935999999999</v>
      </c>
      <c r="E7" s="189" t="s">
        <v>113</v>
      </c>
      <c r="F7" s="165">
        <f ca="1">F4/$F$6</f>
        <v>0.89260287548326789</v>
      </c>
    </row>
    <row r="8" spans="1:6" x14ac:dyDescent="0.3">
      <c r="E8" s="159" t="s">
        <v>114</v>
      </c>
      <c r="F8" s="260">
        <f ca="1">F5/$F$6</f>
        <v>0.10739712451673211</v>
      </c>
    </row>
    <row r="9" spans="1:6" x14ac:dyDescent="0.3">
      <c r="A9" s="153" t="s">
        <v>84</v>
      </c>
      <c r="B9" s="257"/>
      <c r="F9" s="1"/>
    </row>
    <row r="10" spans="1:6" x14ac:dyDescent="0.3">
      <c r="A10" s="157" t="s">
        <v>106</v>
      </c>
      <c r="B10" s="263">
        <f>'Control Panel'!B13</f>
        <v>0.11</v>
      </c>
      <c r="F10" s="1"/>
    </row>
    <row r="11" spans="1:6" x14ac:dyDescent="0.3">
      <c r="A11" s="157" t="s">
        <v>107</v>
      </c>
      <c r="B11" s="263">
        <f>'Control Panel'!B14</f>
        <v>0.25</v>
      </c>
      <c r="E11" s="152" t="s">
        <v>116</v>
      </c>
    </row>
    <row r="12" spans="1:6" x14ac:dyDescent="0.3">
      <c r="A12" s="159" t="s">
        <v>108</v>
      </c>
      <c r="B12" s="264">
        <f>B10*(1-B11)</f>
        <v>8.2500000000000004E-2</v>
      </c>
      <c r="E12" s="153" t="s">
        <v>117</v>
      </c>
      <c r="F12" s="154" t="s">
        <v>118</v>
      </c>
    </row>
    <row r="13" spans="1:6" x14ac:dyDescent="0.3">
      <c r="E13" s="157" t="s">
        <v>105</v>
      </c>
      <c r="F13" s="155">
        <f ca="1">B7</f>
        <v>0.14829935999999999</v>
      </c>
    </row>
    <row r="14" spans="1:6" x14ac:dyDescent="0.3">
      <c r="A14" s="153" t="s">
        <v>115</v>
      </c>
      <c r="B14" s="257"/>
      <c r="E14" s="157" t="s">
        <v>108</v>
      </c>
      <c r="F14" s="156">
        <f>B12</f>
        <v>8.2500000000000004E-2</v>
      </c>
    </row>
    <row r="15" spans="1:6" x14ac:dyDescent="0.3">
      <c r="A15" s="159" t="s">
        <v>15</v>
      </c>
      <c r="B15" s="264">
        <f ca="1">(B7*F7)+(B12*F8)</f>
        <v>0.14123269794095872</v>
      </c>
      <c r="E15" s="157" t="s">
        <v>119</v>
      </c>
      <c r="F15" s="156">
        <f ca="1">F7</f>
        <v>0.89260287548326789</v>
      </c>
    </row>
    <row r="16" spans="1:6" x14ac:dyDescent="0.3">
      <c r="E16" s="157" t="s">
        <v>120</v>
      </c>
      <c r="F16" s="156">
        <f ca="1">F8</f>
        <v>0.10739712451673211</v>
      </c>
    </row>
    <row r="17" spans="5:6" x14ac:dyDescent="0.3">
      <c r="E17" s="159" t="s">
        <v>15</v>
      </c>
      <c r="F17" s="160">
        <f ca="1">'Control Panel'!B18</f>
        <v>0.14123269794095872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5352E-A1FC-4768-AC95-7013E33E2AA4}">
  <dimension ref="A1:I53"/>
  <sheetViews>
    <sheetView workbookViewId="0">
      <selection activeCell="B12" sqref="B12:F12"/>
    </sheetView>
  </sheetViews>
  <sheetFormatPr defaultRowHeight="14.4" x14ac:dyDescent="0.3"/>
  <cols>
    <col min="1" max="1" width="25.109375" style="1" bestFit="1" customWidth="1"/>
    <col min="2" max="2" width="10.33203125" style="1" bestFit="1" customWidth="1"/>
    <col min="3" max="5" width="11" style="1" bestFit="1" customWidth="1"/>
    <col min="6" max="6" width="10.77734375" style="1" customWidth="1"/>
    <col min="7" max="7" width="8.88671875" style="2"/>
    <col min="8" max="8" width="24" style="1" bestFit="1" customWidth="1"/>
    <col min="9" max="9" width="11.44140625" style="1" bestFit="1" customWidth="1"/>
    <col min="10" max="16384" width="8.88671875" style="1"/>
  </cols>
  <sheetData>
    <row r="1" spans="1:9" ht="21" x14ac:dyDescent="0.3">
      <c r="A1" s="375" t="s">
        <v>130</v>
      </c>
      <c r="B1" s="375"/>
      <c r="C1" s="375"/>
      <c r="D1" s="375"/>
      <c r="E1" s="375"/>
      <c r="F1" s="375"/>
      <c r="G1" s="375"/>
    </row>
    <row r="2" spans="1:9" x14ac:dyDescent="0.3">
      <c r="A2" s="363" t="s">
        <v>131</v>
      </c>
      <c r="B2" s="363"/>
      <c r="C2" s="363"/>
      <c r="D2" s="363"/>
      <c r="E2" s="363"/>
      <c r="F2" s="363"/>
      <c r="G2" s="363"/>
    </row>
    <row r="3" spans="1:9" x14ac:dyDescent="0.3">
      <c r="A3" s="162"/>
      <c r="G3" s="1"/>
    </row>
    <row r="4" spans="1:9" x14ac:dyDescent="0.3">
      <c r="A4" s="376" t="s">
        <v>132</v>
      </c>
      <c r="B4" s="377"/>
      <c r="G4" s="1"/>
      <c r="H4" s="376" t="s">
        <v>141</v>
      </c>
      <c r="I4" s="377"/>
    </row>
    <row r="5" spans="1:9" x14ac:dyDescent="0.3">
      <c r="A5" s="157" t="s">
        <v>15</v>
      </c>
      <c r="B5" s="169">
        <f ca="1">WACC!B15</f>
        <v>0.14123269794095872</v>
      </c>
      <c r="G5" s="1"/>
      <c r="H5" s="105" t="s">
        <v>125</v>
      </c>
      <c r="I5" s="200">
        <f ca="1">B16+B23</f>
        <v>19468.417389720053</v>
      </c>
    </row>
    <row r="6" spans="1:9" x14ac:dyDescent="0.3">
      <c r="A6" s="157" t="s">
        <v>133</v>
      </c>
      <c r="B6" s="166">
        <f>'Control Panel'!B19</f>
        <v>3.5000000000000003E-2</v>
      </c>
      <c r="G6" s="1"/>
      <c r="H6" s="9" t="s">
        <v>126</v>
      </c>
      <c r="I6" s="187">
        <f>Balance_Sheet!B18-Balance_Sheet!B7</f>
        <v>750.53829499999847</v>
      </c>
    </row>
    <row r="7" spans="1:9" x14ac:dyDescent="0.3">
      <c r="A7" s="157" t="s">
        <v>134</v>
      </c>
      <c r="B7" s="167">
        <v>5</v>
      </c>
      <c r="G7" s="1"/>
      <c r="H7" s="105" t="s">
        <v>127</v>
      </c>
      <c r="I7" s="201">
        <f ca="1">I5-I6</f>
        <v>18717.879094720054</v>
      </c>
    </row>
    <row r="8" spans="1:9" x14ac:dyDescent="0.3">
      <c r="A8" s="158" t="s">
        <v>135</v>
      </c>
      <c r="B8" s="168" t="s">
        <v>37</v>
      </c>
      <c r="H8" s="9" t="s">
        <v>128</v>
      </c>
      <c r="I8" s="55" cm="1">
        <f t="array" aca="1" ref="I8" ca="1">_FV(Cover!B6,"Shares outstanding",TRUE)/10000000</f>
        <v>33.504179999999998</v>
      </c>
    </row>
    <row r="9" spans="1:9" ht="18" x14ac:dyDescent="0.3">
      <c r="B9" s="184"/>
      <c r="H9" s="199" t="s">
        <v>143</v>
      </c>
      <c r="I9" s="202">
        <f ca="1">I7/I8</f>
        <v>558.67295050110329</v>
      </c>
    </row>
    <row r="10" spans="1:9" x14ac:dyDescent="0.3">
      <c r="A10" s="162"/>
      <c r="H10" s="9" t="s">
        <v>144</v>
      </c>
      <c r="I10" s="55" cm="1">
        <f t="array" aca="1" ref="I10" ca="1">_FV(Cover!B6,"Price")</f>
        <v>1673.3</v>
      </c>
    </row>
    <row r="11" spans="1:9" x14ac:dyDescent="0.3">
      <c r="A11" s="181" t="s">
        <v>138</v>
      </c>
      <c r="B11" s="182"/>
      <c r="C11" s="182"/>
      <c r="D11" s="182"/>
      <c r="E11" s="182"/>
      <c r="F11" s="183"/>
      <c r="H11" s="11" t="s">
        <v>129</v>
      </c>
      <c r="I11" s="203">
        <f ca="1">(I9/I10)-1</f>
        <v>-0.66612505199240823</v>
      </c>
    </row>
    <row r="12" spans="1:9" x14ac:dyDescent="0.3">
      <c r="A12" s="180" t="s">
        <v>139</v>
      </c>
      <c r="B12" s="121" t="s">
        <v>37</v>
      </c>
      <c r="C12" s="121" t="s">
        <v>38</v>
      </c>
      <c r="D12" s="121" t="s">
        <v>39</v>
      </c>
      <c r="E12" s="121" t="s">
        <v>40</v>
      </c>
      <c r="F12" s="122" t="s">
        <v>41</v>
      </c>
    </row>
    <row r="13" spans="1:9" x14ac:dyDescent="0.3">
      <c r="A13" s="9" t="s">
        <v>121</v>
      </c>
      <c r="B13" s="179">
        <f>Cash_Flow!C6+Cash_Flow!C7-Cash_Flow!C8-Cash_Flow!C11</f>
        <v>834.17191428436627</v>
      </c>
      <c r="C13" s="172">
        <f>Cash_Flow!D6+Cash_Flow!D7-Cash_Flow!D8-Cash_Flow!D11</f>
        <v>1538.9693013741303</v>
      </c>
      <c r="D13" s="172">
        <f>Cash_Flow!E6+Cash_Flow!E7-Cash_Flow!E8-Cash_Flow!E11</f>
        <v>2010.0044607428247</v>
      </c>
      <c r="E13" s="172">
        <f>Cash_Flow!F6+Cash_Flow!F7-Cash_Flow!F8-Cash_Flow!F11</f>
        <v>2320.4784347651148</v>
      </c>
      <c r="F13" s="173">
        <f>Cash_Flow!G6+Cash_Flow!G7-Cash_Flow!G8-Cash_Flow!G11</f>
        <v>2673.3695699847794</v>
      </c>
    </row>
    <row r="14" spans="1:9" x14ac:dyDescent="0.3">
      <c r="A14" s="9" t="s">
        <v>136</v>
      </c>
      <c r="B14" s="178">
        <f ca="1">1/(1+$B$5)^1</f>
        <v>0.87624548595937146</v>
      </c>
      <c r="C14" s="174">
        <f ca="1">1/(1+$B$5)^2</f>
        <v>0.76780615166417487</v>
      </c>
      <c r="D14" s="174">
        <f ca="1">1/(1+$B$5)^3</f>
        <v>0.67278667448756979</v>
      </c>
      <c r="E14" s="174">
        <f ca="1">1/(1+$B$5)^4</f>
        <v>0.58952628653334993</v>
      </c>
      <c r="F14" s="175">
        <f ca="1">1/(1+$B$5)^5</f>
        <v>0.51656974742923889</v>
      </c>
    </row>
    <row r="15" spans="1:9" x14ac:dyDescent="0.3">
      <c r="A15" s="192" t="s">
        <v>137</v>
      </c>
      <c r="B15" s="195">
        <f ca="1">B13*B14</f>
        <v>730.93937440576372</v>
      </c>
      <c r="C15" s="193">
        <f t="shared" ref="C15:F15" ca="1" si="0">C13*C14</f>
        <v>1181.6300968173748</v>
      </c>
      <c r="D15" s="193">
        <f t="shared" ca="1" si="0"/>
        <v>1352.304216848346</v>
      </c>
      <c r="E15" s="193">
        <f t="shared" ca="1" si="0"/>
        <v>1367.9830346277984</v>
      </c>
      <c r="F15" s="194">
        <f t="shared" ca="1" si="0"/>
        <v>1380.9818435520506</v>
      </c>
    </row>
    <row r="16" spans="1:9" x14ac:dyDescent="0.3">
      <c r="A16" s="158" t="s">
        <v>142</v>
      </c>
      <c r="B16" s="196">
        <f ca="1">NPV(WACC!F17,DCF_Valuation!B13:F13)</f>
        <v>6013.8385662513338</v>
      </c>
      <c r="C16" s="176"/>
      <c r="D16" s="176"/>
      <c r="E16" s="176"/>
      <c r="F16" s="177"/>
    </row>
    <row r="19" spans="1:9" x14ac:dyDescent="0.3">
      <c r="A19" s="376" t="s">
        <v>140</v>
      </c>
      <c r="B19" s="377"/>
      <c r="H19" s="376" t="s">
        <v>145</v>
      </c>
      <c r="I19" s="377"/>
    </row>
    <row r="20" spans="1:9" x14ac:dyDescent="0.3">
      <c r="A20" s="157" t="s">
        <v>133</v>
      </c>
      <c r="B20" s="198">
        <f>B6</f>
        <v>3.5000000000000003E-2</v>
      </c>
      <c r="H20" s="123" t="s">
        <v>146</v>
      </c>
      <c r="I20" s="204">
        <f ca="1">B22/I5</f>
        <v>1.3378594488875366</v>
      </c>
    </row>
    <row r="21" spans="1:9" x14ac:dyDescent="0.3">
      <c r="A21" s="157" t="s">
        <v>122</v>
      </c>
      <c r="B21" s="188">
        <f>F13*(1+'Control Panel'!B19)</f>
        <v>2766.9375049342466</v>
      </c>
      <c r="H21" s="9" t="s">
        <v>147</v>
      </c>
      <c r="I21" s="205">
        <f ca="1">B16-SUM(B15:F15)</f>
        <v>0</v>
      </c>
    </row>
    <row r="22" spans="1:9" x14ac:dyDescent="0.3">
      <c r="A22" s="189" t="s">
        <v>123</v>
      </c>
      <c r="B22" s="190">
        <f ca="1">B21/(WACC!F17-'Control Panel'!B19)</f>
        <v>26046.006159723405</v>
      </c>
      <c r="H22" s="11" t="s">
        <v>148</v>
      </c>
      <c r="I22" s="206">
        <f ca="1">I5-(B16+B23)</f>
        <v>0</v>
      </c>
    </row>
    <row r="23" spans="1:9" x14ac:dyDescent="0.3">
      <c r="A23" s="159" t="s">
        <v>124</v>
      </c>
      <c r="B23" s="191">
        <f ca="1">B22/(1+WACC!F17)^5</f>
        <v>13454.578823468719</v>
      </c>
    </row>
    <row r="45" spans="2:2" x14ac:dyDescent="0.3">
      <c r="B45" s="163"/>
    </row>
    <row r="47" spans="2:2" x14ac:dyDescent="0.3">
      <c r="B47" s="100"/>
    </row>
    <row r="49" spans="2:2" x14ac:dyDescent="0.3">
      <c r="B49" s="164"/>
    </row>
    <row r="50" spans="2:2" x14ac:dyDescent="0.3">
      <c r="B50" s="164"/>
    </row>
    <row r="51" spans="2:2" x14ac:dyDescent="0.3">
      <c r="B51" s="164"/>
    </row>
    <row r="52" spans="2:2" x14ac:dyDescent="0.3">
      <c r="B52" s="164"/>
    </row>
    <row r="53" spans="2:2" x14ac:dyDescent="0.3">
      <c r="B53" s="163"/>
    </row>
  </sheetData>
  <mergeCells count="6">
    <mergeCell ref="A1:G1"/>
    <mergeCell ref="A4:B4"/>
    <mergeCell ref="A2:G2"/>
    <mergeCell ref="A19:B19"/>
    <mergeCell ref="H4:I4"/>
    <mergeCell ref="H19:I19"/>
  </mergeCells>
  <conditionalFormatting sqref="I11">
    <cfRule type="cellIs" dxfId="8" priority="3" operator="greaterThan">
      <formula>0</formula>
    </cfRule>
    <cfRule type="cellIs" dxfId="7" priority="4" operator="lessThan">
      <formula>0</formula>
    </cfRule>
  </conditionalFormatting>
  <conditionalFormatting sqref="I20">
    <cfRule type="cellIs" dxfId="6" priority="1" operator="lessThan">
      <formula>0.85</formula>
    </cfRule>
    <cfRule type="cellIs" dxfId="5" priority="2" operator="greaterThan">
      <formula>0.85</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CCB0B-F777-4152-BA85-DA93E88132AD}">
  <dimension ref="A1:K15"/>
  <sheetViews>
    <sheetView workbookViewId="0">
      <selection activeCell="H8" sqref="H8"/>
    </sheetView>
  </sheetViews>
  <sheetFormatPr defaultRowHeight="14.4" x14ac:dyDescent="0.3"/>
  <cols>
    <col min="1" max="1" width="26" bestFit="1" customWidth="1"/>
    <col min="3" max="3" width="9.88671875" bestFit="1" customWidth="1"/>
  </cols>
  <sheetData>
    <row r="1" spans="1:11" ht="18" x14ac:dyDescent="0.35">
      <c r="A1" s="378" t="s">
        <v>149</v>
      </c>
      <c r="B1" s="378"/>
      <c r="C1" s="378"/>
      <c r="D1" s="378"/>
      <c r="E1" s="378"/>
      <c r="F1" s="378"/>
      <c r="G1" s="378"/>
      <c r="H1" s="378"/>
      <c r="I1" s="378"/>
      <c r="J1" s="378"/>
      <c r="K1" s="378"/>
    </row>
    <row r="2" spans="1:11" ht="18" x14ac:dyDescent="0.35">
      <c r="A2" s="363" t="s">
        <v>131</v>
      </c>
      <c r="B2" s="363"/>
      <c r="C2" s="363"/>
      <c r="D2" s="363"/>
      <c r="E2" s="363"/>
      <c r="F2" s="363"/>
      <c r="G2" s="363"/>
      <c r="H2" s="207"/>
      <c r="I2" s="207"/>
      <c r="J2" s="207"/>
      <c r="K2" s="207"/>
    </row>
    <row r="4" spans="1:11" x14ac:dyDescent="0.3">
      <c r="A4" s="209" t="s">
        <v>150</v>
      </c>
      <c r="B4" s="210"/>
      <c r="C4" s="211"/>
    </row>
    <row r="5" spans="1:11" x14ac:dyDescent="0.3">
      <c r="A5" s="68" t="s">
        <v>21</v>
      </c>
      <c r="B5" s="69"/>
      <c r="C5" s="212">
        <f>'Control Panel'!B28</f>
        <v>46367.08</v>
      </c>
    </row>
    <row r="6" spans="1:11" x14ac:dyDescent="0.3">
      <c r="A6" s="68" t="s">
        <v>151</v>
      </c>
      <c r="B6" s="69"/>
      <c r="C6" s="212">
        <f>'Control Panel'!B33*LBO_Sources_Uses!C5</f>
        <v>927.34160000000008</v>
      </c>
    </row>
    <row r="7" spans="1:11" x14ac:dyDescent="0.3">
      <c r="A7" s="68" t="s">
        <v>153</v>
      </c>
      <c r="B7" s="69"/>
      <c r="C7" s="212">
        <f>Balance_Sheet!B18</f>
        <v>7005</v>
      </c>
    </row>
    <row r="8" spans="1:11" x14ac:dyDescent="0.3">
      <c r="A8" s="217" t="s">
        <v>154</v>
      </c>
      <c r="B8" s="215"/>
      <c r="C8" s="218">
        <f>C5+C6+C7</f>
        <v>54299.421600000001</v>
      </c>
    </row>
    <row r="10" spans="1:11" x14ac:dyDescent="0.3">
      <c r="A10" s="209" t="s">
        <v>155</v>
      </c>
      <c r="B10" s="210"/>
      <c r="C10" s="211"/>
    </row>
    <row r="11" spans="1:11" x14ac:dyDescent="0.3">
      <c r="A11" s="68" t="s">
        <v>156</v>
      </c>
      <c r="B11" s="69"/>
      <c r="C11" s="212">
        <f>'Control Panel'!B23*LBO_Sources_Uses!C5</f>
        <v>23183.54</v>
      </c>
    </row>
    <row r="12" spans="1:11" x14ac:dyDescent="0.3">
      <c r="A12" s="68" t="s">
        <v>157</v>
      </c>
      <c r="B12" s="69"/>
      <c r="C12" s="212">
        <f>C8-C11</f>
        <v>31115.881600000001</v>
      </c>
    </row>
    <row r="13" spans="1:11" x14ac:dyDescent="0.3">
      <c r="A13" s="139" t="s">
        <v>158</v>
      </c>
      <c r="B13" s="69"/>
      <c r="C13" s="213">
        <f>C11+C12</f>
        <v>54299.421600000001</v>
      </c>
    </row>
    <row r="14" spans="1:11" x14ac:dyDescent="0.3">
      <c r="A14" s="68"/>
      <c r="B14" s="69"/>
      <c r="C14" s="70"/>
    </row>
    <row r="15" spans="1:11" x14ac:dyDescent="0.3">
      <c r="A15" s="214" t="s">
        <v>159</v>
      </c>
      <c r="B15" s="215"/>
      <c r="C15" s="216">
        <f>C13-C8</f>
        <v>0</v>
      </c>
    </row>
  </sheetData>
  <mergeCells count="2">
    <mergeCell ref="A1:K1"/>
    <mergeCell ref="A2:G2"/>
  </mergeCells>
  <conditionalFormatting sqref="C15">
    <cfRule type="cellIs" dxfId="4" priority="1" operator="greaterThan">
      <formula>0</formula>
    </cfRule>
    <cfRule type="cellIs" dxfId="3" priority="2" operator="lessThan">
      <formula>0</formula>
    </cfRule>
    <cfRule type="cellIs" dxfId="2" priority="3" operator="equal">
      <formula>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2F7B6-0194-456E-B405-900522F34B09}">
  <dimension ref="A1:H19"/>
  <sheetViews>
    <sheetView workbookViewId="0">
      <selection activeCell="C19" sqref="C19"/>
    </sheetView>
  </sheetViews>
  <sheetFormatPr defaultRowHeight="14.4" x14ac:dyDescent="0.3"/>
  <cols>
    <col min="1" max="1" width="20.6640625" style="1" bestFit="1" customWidth="1"/>
    <col min="2" max="2" width="8.88671875" style="1"/>
    <col min="3" max="3" width="10.88671875" style="1" bestFit="1" customWidth="1"/>
    <col min="4" max="5" width="8.88671875" style="1"/>
    <col min="6" max="6" width="12.5546875" style="1" bestFit="1" customWidth="1"/>
    <col min="7" max="7" width="8.88671875" style="1"/>
    <col min="8" max="8" width="10.88671875" style="1" bestFit="1" customWidth="1"/>
    <col min="9" max="16384" width="8.88671875" style="1"/>
  </cols>
  <sheetData>
    <row r="1" spans="1:8" ht="21" x14ac:dyDescent="0.3">
      <c r="A1" s="375" t="s">
        <v>160</v>
      </c>
      <c r="B1" s="375"/>
      <c r="C1" s="375"/>
      <c r="D1" s="375"/>
      <c r="E1" s="375"/>
      <c r="F1" s="375"/>
      <c r="G1" s="375"/>
    </row>
    <row r="2" spans="1:8" x14ac:dyDescent="0.3">
      <c r="A2" s="363" t="s">
        <v>131</v>
      </c>
      <c r="B2" s="363"/>
      <c r="C2" s="363"/>
      <c r="D2" s="363"/>
      <c r="E2" s="363"/>
      <c r="F2" s="363"/>
      <c r="G2" s="363"/>
    </row>
    <row r="4" spans="1:8" x14ac:dyDescent="0.3">
      <c r="A4" s="181" t="s">
        <v>161</v>
      </c>
      <c r="B4" s="227"/>
      <c r="C4" s="228"/>
      <c r="F4" s="153" t="s">
        <v>172</v>
      </c>
      <c r="G4" s="219"/>
      <c r="H4" s="185"/>
    </row>
    <row r="5" spans="1:8" x14ac:dyDescent="0.3">
      <c r="A5" s="9" t="s">
        <v>21</v>
      </c>
      <c r="B5" s="220"/>
      <c r="C5" s="229">
        <f>'Control Panel'!B28</f>
        <v>46367.08</v>
      </c>
      <c r="F5" s="9" t="s">
        <v>21</v>
      </c>
      <c r="G5" s="220"/>
      <c r="H5" s="229">
        <f>C5</f>
        <v>46367.08</v>
      </c>
    </row>
    <row r="6" spans="1:8" x14ac:dyDescent="0.3">
      <c r="A6" s="9" t="s">
        <v>162</v>
      </c>
      <c r="B6" s="220"/>
      <c r="C6" s="187">
        <f>LBO_Sources_Uses!C11</f>
        <v>23183.54</v>
      </c>
      <c r="F6" s="9" t="s">
        <v>173</v>
      </c>
      <c r="G6" s="220"/>
      <c r="H6" s="187">
        <f>C7</f>
        <v>31115.881600000001</v>
      </c>
    </row>
    <row r="7" spans="1:8" x14ac:dyDescent="0.3">
      <c r="A7" s="11" t="s">
        <v>163</v>
      </c>
      <c r="B7" s="221"/>
      <c r="C7" s="54">
        <f>LBO_Sources_Uses!C12</f>
        <v>31115.881600000001</v>
      </c>
      <c r="F7" s="9" t="s">
        <v>167</v>
      </c>
      <c r="G7" s="220"/>
      <c r="H7" s="187">
        <f>C12</f>
        <v>142555.8598523922</v>
      </c>
    </row>
    <row r="8" spans="1:8" x14ac:dyDescent="0.3">
      <c r="F8" s="9" t="s">
        <v>174</v>
      </c>
      <c r="G8" s="220"/>
      <c r="H8" s="187">
        <f>C14</f>
        <v>142555.8598523922</v>
      </c>
    </row>
    <row r="9" spans="1:8" x14ac:dyDescent="0.3">
      <c r="A9" s="181" t="s">
        <v>164</v>
      </c>
      <c r="B9" s="227"/>
      <c r="C9" s="228"/>
      <c r="F9" s="9" t="s">
        <v>25</v>
      </c>
      <c r="G9" s="220"/>
      <c r="H9" s="55">
        <f>C18</f>
        <v>4.5814501316392784</v>
      </c>
    </row>
    <row r="10" spans="1:8" x14ac:dyDescent="0.3">
      <c r="A10" s="9" t="s">
        <v>165</v>
      </c>
      <c r="B10" s="220"/>
      <c r="C10" s="223">
        <f>'Control Panel'!B21</f>
        <v>24.95</v>
      </c>
      <c r="F10" s="11" t="s">
        <v>175</v>
      </c>
      <c r="G10" s="221"/>
      <c r="H10" s="230">
        <f>C19</f>
        <v>0.66086495442303184</v>
      </c>
    </row>
    <row r="11" spans="1:8" x14ac:dyDescent="0.3">
      <c r="A11" s="9" t="s">
        <v>166</v>
      </c>
      <c r="B11" s="220"/>
      <c r="C11" s="187">
        <f>Income_Statement!G8</f>
        <v>5713.6617175307492</v>
      </c>
    </row>
    <row r="12" spans="1:8" x14ac:dyDescent="0.3">
      <c r="A12" s="9" t="s">
        <v>167</v>
      </c>
      <c r="B12" s="220"/>
      <c r="C12" s="187">
        <f>C10*C11</f>
        <v>142555.8598523922</v>
      </c>
    </row>
    <row r="13" spans="1:8" x14ac:dyDescent="0.3">
      <c r="A13" s="9" t="s">
        <v>168</v>
      </c>
      <c r="B13" s="220"/>
      <c r="C13" s="187" cm="1">
        <f t="array" ref="C13">INDEX(LBO_Debt_Schedule!B11:G11,1,IRR_Sensitivity!J7+1)</f>
        <v>0</v>
      </c>
    </row>
    <row r="14" spans="1:8" x14ac:dyDescent="0.3">
      <c r="A14" s="11" t="s">
        <v>23</v>
      </c>
      <c r="B14" s="221"/>
      <c r="C14" s="54">
        <f>C12-C13</f>
        <v>142555.8598523922</v>
      </c>
    </row>
    <row r="16" spans="1:8" x14ac:dyDescent="0.3">
      <c r="A16" s="181" t="s">
        <v>169</v>
      </c>
      <c r="B16" s="227"/>
      <c r="C16" s="228"/>
    </row>
    <row r="17" spans="1:3" x14ac:dyDescent="0.3">
      <c r="A17" s="9" t="s">
        <v>170</v>
      </c>
      <c r="B17" s="220"/>
      <c r="C17" s="226">
        <f>IRR_Sensitivity!J7</f>
        <v>3</v>
      </c>
    </row>
    <row r="18" spans="1:3" x14ac:dyDescent="0.3">
      <c r="A18" s="9" t="s">
        <v>171</v>
      </c>
      <c r="B18" s="220"/>
      <c r="C18" s="224">
        <f>C14/C7</f>
        <v>4.5814501316392784</v>
      </c>
    </row>
    <row r="19" spans="1:3" x14ac:dyDescent="0.3">
      <c r="A19" s="11" t="s">
        <v>24</v>
      </c>
      <c r="B19" s="221"/>
      <c r="C19" s="225">
        <f>C18^(1/C17)-1</f>
        <v>0.66086495442303184</v>
      </c>
    </row>
  </sheetData>
  <mergeCells count="2">
    <mergeCell ref="A2:G2"/>
    <mergeCell ref="A1:G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EBC4F-FD6F-45E7-AC63-FF8C0F6B3BFE}">
  <dimension ref="A1:G11"/>
  <sheetViews>
    <sheetView tabSelected="1" workbookViewId="0">
      <selection activeCell="J9" sqref="J9"/>
    </sheetView>
  </sheetViews>
  <sheetFormatPr defaultRowHeight="14.4" x14ac:dyDescent="0.3"/>
  <cols>
    <col min="1" max="1" width="25.6640625" style="1" bestFit="1" customWidth="1"/>
    <col min="2" max="2" width="13.21875" style="1" bestFit="1" customWidth="1"/>
    <col min="3" max="7" width="9.88671875" style="231" bestFit="1" customWidth="1"/>
    <col min="8" max="16384" width="8.88671875" style="1"/>
  </cols>
  <sheetData>
    <row r="1" spans="1:7" ht="21" x14ac:dyDescent="0.3">
      <c r="A1" s="375" t="s">
        <v>176</v>
      </c>
      <c r="B1" s="375"/>
      <c r="C1" s="375"/>
      <c r="D1" s="375"/>
      <c r="E1" s="375"/>
      <c r="F1" s="375"/>
      <c r="G1" s="375"/>
    </row>
    <row r="2" spans="1:7" x14ac:dyDescent="0.3">
      <c r="A2" s="363" t="s">
        <v>131</v>
      </c>
      <c r="B2" s="363"/>
      <c r="C2" s="363"/>
      <c r="D2" s="363"/>
      <c r="E2" s="363"/>
      <c r="F2" s="363"/>
      <c r="G2" s="363"/>
    </row>
    <row r="4" spans="1:7" x14ac:dyDescent="0.3">
      <c r="A4" s="181" t="s">
        <v>139</v>
      </c>
      <c r="B4" s="227" t="s">
        <v>221</v>
      </c>
      <c r="C4" s="420" t="s">
        <v>37</v>
      </c>
      <c r="D4" s="420" t="s">
        <v>38</v>
      </c>
      <c r="E4" s="420" t="s">
        <v>39</v>
      </c>
      <c r="F4" s="420" t="s">
        <v>40</v>
      </c>
      <c r="G4" s="420" t="s">
        <v>41</v>
      </c>
    </row>
    <row r="5" spans="1:7" x14ac:dyDescent="0.3">
      <c r="A5" s="123" t="s">
        <v>82</v>
      </c>
      <c r="B5" s="53">
        <f>LBO_Sources_Uses!C11</f>
        <v>23183.54</v>
      </c>
      <c r="C5" s="232">
        <f>B11</f>
        <v>16929.078294999999</v>
      </c>
      <c r="D5" s="232">
        <f>C11</f>
        <v>8705.5238707156313</v>
      </c>
      <c r="E5" s="232">
        <f t="shared" ref="E5:G5" si="0">D11</f>
        <v>0</v>
      </c>
      <c r="F5" s="232">
        <f t="shared" si="0"/>
        <v>0</v>
      </c>
      <c r="G5" s="233">
        <f t="shared" si="0"/>
        <v>0</v>
      </c>
    </row>
    <row r="6" spans="1:7" x14ac:dyDescent="0.3">
      <c r="A6" s="9" t="s">
        <v>100</v>
      </c>
      <c r="B6" s="55">
        <v>0</v>
      </c>
      <c r="C6" s="36">
        <v>0</v>
      </c>
      <c r="D6" s="36">
        <v>0</v>
      </c>
      <c r="E6" s="36">
        <v>0</v>
      </c>
      <c r="F6" s="36">
        <v>0</v>
      </c>
      <c r="G6" s="37">
        <v>0</v>
      </c>
    </row>
    <row r="7" spans="1:7" x14ac:dyDescent="0.3">
      <c r="A7" s="9" t="s">
        <v>83</v>
      </c>
      <c r="B7" s="237">
        <f>'Control Panel'!$B$13</f>
        <v>0.11</v>
      </c>
      <c r="C7" s="234">
        <f>'Control Panel'!$B$13</f>
        <v>0.11</v>
      </c>
      <c r="D7" s="234">
        <f>'Control Panel'!$B$13</f>
        <v>0.11</v>
      </c>
      <c r="E7" s="234">
        <f>'Control Panel'!$B$13</f>
        <v>0.11</v>
      </c>
      <c r="F7" s="234">
        <f>'Control Panel'!$B$13</f>
        <v>0.11</v>
      </c>
      <c r="G7" s="186">
        <f>'Control Panel'!$B$13</f>
        <v>0.11</v>
      </c>
    </row>
    <row r="8" spans="1:7" x14ac:dyDescent="0.3">
      <c r="A8" s="9" t="s">
        <v>55</v>
      </c>
      <c r="B8" s="55">
        <v>0</v>
      </c>
      <c r="C8" s="235">
        <f>C7*AVERAGE(C5,C11)</f>
        <v>1409.9031191143597</v>
      </c>
      <c r="D8" s="235">
        <f t="shared" ref="D8:G8" si="1">D7*AVERAGE(D5,D11)</f>
        <v>478.80381288935973</v>
      </c>
      <c r="E8" s="235">
        <f t="shared" si="1"/>
        <v>0</v>
      </c>
      <c r="F8" s="235">
        <f t="shared" si="1"/>
        <v>0</v>
      </c>
      <c r="G8" s="236">
        <f t="shared" si="1"/>
        <v>0</v>
      </c>
    </row>
    <row r="9" spans="1:7" x14ac:dyDescent="0.3">
      <c r="A9" s="9" t="s">
        <v>177</v>
      </c>
      <c r="B9" s="55">
        <f>Cash_Flow!B19</f>
        <v>6254.4617050000015</v>
      </c>
      <c r="C9" s="36">
        <f>Cash_Flow!C19</f>
        <v>8223.554424284368</v>
      </c>
      <c r="D9" s="36">
        <f>Cash_Flow!D19</f>
        <v>11604.240943415998</v>
      </c>
      <c r="E9" s="36">
        <f>Cash_Flow!E19</f>
        <v>15753.399952584159</v>
      </c>
      <c r="F9" s="36">
        <f>Cash_Flow!F19</f>
        <v>20494.331758892542</v>
      </c>
      <c r="G9" s="37">
        <f>Cash_Flow!G19</f>
        <v>25954.853386209394</v>
      </c>
    </row>
    <row r="10" spans="1:7" x14ac:dyDescent="0.3">
      <c r="A10" s="9" t="s">
        <v>178</v>
      </c>
      <c r="B10" s="55">
        <f>MIN(B9,B5+B6)</f>
        <v>6254.4617050000015</v>
      </c>
      <c r="C10" s="36">
        <f t="shared" ref="C10:G10" si="2">MIN(C9,C5+C6)</f>
        <v>8223.554424284368</v>
      </c>
      <c r="D10" s="36">
        <f t="shared" si="2"/>
        <v>8705.5238707156313</v>
      </c>
      <c r="E10" s="36">
        <f t="shared" si="2"/>
        <v>0</v>
      </c>
      <c r="F10" s="36">
        <f t="shared" si="2"/>
        <v>0</v>
      </c>
      <c r="G10" s="37">
        <f t="shared" si="2"/>
        <v>0</v>
      </c>
    </row>
    <row r="11" spans="1:7" x14ac:dyDescent="0.3">
      <c r="A11" s="11" t="s">
        <v>87</v>
      </c>
      <c r="B11" s="56">
        <f>B5+B6-B10</f>
        <v>16929.078294999999</v>
      </c>
      <c r="C11" s="49">
        <f t="shared" ref="C11:G11" si="3">C5+C6-C10</f>
        <v>8705.5238707156313</v>
      </c>
      <c r="D11" s="49">
        <f>D5+D6-D10</f>
        <v>0</v>
      </c>
      <c r="E11" s="49">
        <f t="shared" si="3"/>
        <v>0</v>
      </c>
      <c r="F11" s="49">
        <f t="shared" si="3"/>
        <v>0</v>
      </c>
      <c r="G11" s="50">
        <f t="shared" si="3"/>
        <v>0</v>
      </c>
    </row>
  </sheetData>
  <mergeCells count="2">
    <mergeCell ref="A2:G2"/>
    <mergeCell ref="A1:G1"/>
  </mergeCells>
  <phoneticPr fontId="26"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F2E1F-6E56-4F7F-B4DE-37AF39760599}">
  <dimension ref="A1:G22"/>
  <sheetViews>
    <sheetView workbookViewId="0">
      <selection activeCell="F14" sqref="F14"/>
    </sheetView>
  </sheetViews>
  <sheetFormatPr defaultRowHeight="14.4" x14ac:dyDescent="0.3"/>
  <cols>
    <col min="1" max="1" width="27" bestFit="1" customWidth="1"/>
    <col min="2" max="2" width="9.88671875" bestFit="1" customWidth="1"/>
    <col min="3" max="3" width="10.88671875" bestFit="1" customWidth="1"/>
  </cols>
  <sheetData>
    <row r="1" spans="1:7" ht="21" x14ac:dyDescent="0.4">
      <c r="A1" s="372" t="s">
        <v>179</v>
      </c>
      <c r="B1" s="372"/>
      <c r="C1" s="372"/>
      <c r="D1" s="372"/>
      <c r="E1" s="372"/>
      <c r="F1" s="372"/>
      <c r="G1" s="372"/>
    </row>
    <row r="2" spans="1:7" x14ac:dyDescent="0.3">
      <c r="A2" s="363" t="s">
        <v>131</v>
      </c>
      <c r="B2" s="363"/>
      <c r="C2" s="363"/>
      <c r="D2" s="363"/>
      <c r="E2" s="363"/>
      <c r="F2" s="363"/>
      <c r="G2" s="363"/>
    </row>
    <row r="4" spans="1:7" x14ac:dyDescent="0.3">
      <c r="A4" s="209" t="s">
        <v>180</v>
      </c>
      <c r="B4" s="210"/>
      <c r="C4" s="211"/>
    </row>
    <row r="5" spans="1:7" x14ac:dyDescent="0.3">
      <c r="A5" s="250" t="s">
        <v>20</v>
      </c>
      <c r="B5" s="251"/>
      <c r="C5" s="254">
        <f ca="1">DCF_Valuation!I5</f>
        <v>19468.417389720053</v>
      </c>
    </row>
    <row r="6" spans="1:7" x14ac:dyDescent="0.3">
      <c r="A6" s="250" t="s">
        <v>181</v>
      </c>
      <c r="B6" s="251"/>
      <c r="C6" s="243">
        <f ca="1">DCF_Valuation!I7</f>
        <v>18717.879094720054</v>
      </c>
    </row>
    <row r="7" spans="1:7" x14ac:dyDescent="0.3">
      <c r="A7" s="252" t="s">
        <v>182</v>
      </c>
      <c r="B7" s="253"/>
      <c r="C7" s="244">
        <f ca="1">DCF_Valuation!I9</f>
        <v>558.67295050110329</v>
      </c>
    </row>
    <row r="9" spans="1:7" x14ac:dyDescent="0.3">
      <c r="A9" s="209" t="s">
        <v>183</v>
      </c>
      <c r="B9" s="210"/>
      <c r="C9" s="211"/>
    </row>
    <row r="10" spans="1:7" x14ac:dyDescent="0.3">
      <c r="A10" s="246" t="s">
        <v>184</v>
      </c>
      <c r="B10" s="247"/>
      <c r="C10" s="255">
        <f>Equity_Returns!H7</f>
        <v>142555.8598523922</v>
      </c>
    </row>
    <row r="11" spans="1:7" x14ac:dyDescent="0.3">
      <c r="A11" s="246" t="s">
        <v>23</v>
      </c>
      <c r="B11" s="247"/>
      <c r="C11" s="255">
        <f>Equity_Returns!C14</f>
        <v>142555.8598523922</v>
      </c>
    </row>
    <row r="12" spans="1:7" x14ac:dyDescent="0.3">
      <c r="A12" s="248" t="s">
        <v>165</v>
      </c>
      <c r="B12" s="249"/>
      <c r="C12" s="245">
        <f>Equity_Returns!C10</f>
        <v>24.95</v>
      </c>
    </row>
    <row r="14" spans="1:7" x14ac:dyDescent="0.3">
      <c r="A14" s="209" t="s">
        <v>185</v>
      </c>
      <c r="B14" s="210"/>
      <c r="C14" s="211"/>
    </row>
    <row r="15" spans="1:7" x14ac:dyDescent="0.3">
      <c r="A15" s="68" t="s">
        <v>21</v>
      </c>
      <c r="B15" s="69"/>
      <c r="C15" s="256">
        <f>'Control Panel'!B28</f>
        <v>46367.08</v>
      </c>
    </row>
    <row r="16" spans="1:7" x14ac:dyDescent="0.3">
      <c r="A16" s="68" t="s">
        <v>186</v>
      </c>
      <c r="B16" s="69"/>
      <c r="C16" s="239">
        <f ca="1">C15/C5-1</f>
        <v>1.3816563551017405</v>
      </c>
    </row>
    <row r="17" spans="1:7" x14ac:dyDescent="0.3">
      <c r="A17" s="214" t="s">
        <v>187</v>
      </c>
      <c r="B17" s="215"/>
      <c r="C17" s="240">
        <f ca="1">C10/C5-1</f>
        <v>6.3224164552618571</v>
      </c>
    </row>
    <row r="20" spans="1:7" x14ac:dyDescent="0.3">
      <c r="A20" s="241" t="s">
        <v>188</v>
      </c>
    </row>
    <row r="21" spans="1:7" ht="43.2" customHeight="1" x14ac:dyDescent="0.3">
      <c r="A21" s="379" t="s">
        <v>189</v>
      </c>
      <c r="B21" s="380"/>
      <c r="C21" s="380"/>
      <c r="D21" s="380"/>
      <c r="E21" s="381"/>
      <c r="F21" s="242"/>
      <c r="G21" s="242"/>
    </row>
    <row r="22" spans="1:7" x14ac:dyDescent="0.3">
      <c r="A22" s="242"/>
      <c r="B22" s="242"/>
      <c r="C22" s="242"/>
      <c r="D22" s="242"/>
      <c r="E22" s="242"/>
      <c r="F22" s="242"/>
      <c r="G22" s="242"/>
    </row>
  </sheetData>
  <mergeCells count="3">
    <mergeCell ref="A1:G1"/>
    <mergeCell ref="A2:G2"/>
    <mergeCell ref="A21:E21"/>
  </mergeCells>
  <conditionalFormatting sqref="C16">
    <cfRule type="cellIs" dxfId="1" priority="1" operator="greaterThan">
      <formula>0</formula>
    </cfRule>
    <cfRule type="cellIs" dxfId="0" priority="2" operator="lessThan">
      <formula>0</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4BC76-D1C8-4377-8A5A-731C50AF2D3D}">
  <dimension ref="A1:K7"/>
  <sheetViews>
    <sheetView workbookViewId="0">
      <selection activeCell="F15" sqref="F15"/>
    </sheetView>
  </sheetViews>
  <sheetFormatPr defaultRowHeight="14.4" x14ac:dyDescent="0.3"/>
  <cols>
    <col min="1" max="1" width="5.44140625" bestFit="1" customWidth="1"/>
    <col min="9" max="9" width="13.44140625" bestFit="1" customWidth="1"/>
  </cols>
  <sheetData>
    <row r="1" spans="1:11" ht="21" x14ac:dyDescent="0.4">
      <c r="A1" s="372" t="s">
        <v>190</v>
      </c>
      <c r="B1" s="372"/>
      <c r="C1" s="372"/>
      <c r="D1" s="372"/>
      <c r="E1" s="372"/>
      <c r="F1" s="372"/>
      <c r="G1" s="372"/>
      <c r="H1" s="372"/>
      <c r="I1" s="372"/>
      <c r="J1" s="372"/>
      <c r="K1" s="372"/>
    </row>
    <row r="4" spans="1:11" ht="18" x14ac:dyDescent="0.35">
      <c r="A4" s="341">
        <f>Equity_Returns!C19</f>
        <v>0.66086495442303184</v>
      </c>
      <c r="B4" s="346">
        <v>3</v>
      </c>
      <c r="C4" s="347">
        <v>4</v>
      </c>
      <c r="D4" s="348">
        <v>5</v>
      </c>
    </row>
    <row r="5" spans="1:11" x14ac:dyDescent="0.3">
      <c r="A5" s="349">
        <v>8</v>
      </c>
      <c r="B5" s="342">
        <f t="dataTable" ref="B5:D7" dt2D="1" dtr="1" r1="J7" r2="J6"/>
        <v>0.13677400422783137</v>
      </c>
      <c r="C5" s="342">
        <v>0.10091959117030869</v>
      </c>
      <c r="D5" s="343">
        <v>7.9952067303193264E-2</v>
      </c>
    </row>
    <row r="6" spans="1:11" x14ac:dyDescent="0.3">
      <c r="A6" s="350">
        <v>9</v>
      </c>
      <c r="B6" s="342">
        <v>0.18229260833012439</v>
      </c>
      <c r="C6" s="342">
        <v>0.13381900098812927</v>
      </c>
      <c r="D6" s="343">
        <v>0.105694080749962</v>
      </c>
      <c r="I6" t="s">
        <v>18</v>
      </c>
      <c r="J6">
        <v>24.95</v>
      </c>
    </row>
    <row r="7" spans="1:11" x14ac:dyDescent="0.3">
      <c r="A7" s="351">
        <v>10</v>
      </c>
      <c r="B7" s="344">
        <v>0.22455267471744556</v>
      </c>
      <c r="C7" s="344">
        <v>0.16408073906221854</v>
      </c>
      <c r="D7" s="345">
        <v>0.12924059647493169</v>
      </c>
      <c r="I7" t="s">
        <v>191</v>
      </c>
      <c r="J7" s="340">
        <f>CHOOSE(MATCH('Control Panel'!B4,{"Base","Upside","Downside"},0),'Scenario Assumptions'!B24,'Scenario Assumptions'!C24,'Scenario Assumptions'!D24)</f>
        <v>3</v>
      </c>
    </row>
  </sheetData>
  <mergeCells count="1">
    <mergeCell ref="A1:K1"/>
  </mergeCells>
  <conditionalFormatting sqref="B5:D7">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21EE2-9C34-4576-8E9D-3015E30AE622}">
  <dimension ref="A1:R15"/>
  <sheetViews>
    <sheetView showGridLines="0" zoomScale="80" zoomScaleNormal="80" workbookViewId="0">
      <selection activeCell="O23" sqref="O23"/>
    </sheetView>
  </sheetViews>
  <sheetFormatPr defaultRowHeight="14.4" x14ac:dyDescent="0.3"/>
  <cols>
    <col min="1" max="1" width="30.77734375" customWidth="1"/>
    <col min="2" max="2" width="12.109375" customWidth="1"/>
    <col min="3" max="3" width="10.6640625" customWidth="1"/>
    <col min="4" max="4" width="30.77734375" customWidth="1"/>
    <col min="5" max="5" width="12.109375" customWidth="1"/>
    <col min="6" max="6" width="10.6640625" customWidth="1"/>
    <col min="7" max="7" width="30.77734375" customWidth="1"/>
    <col min="8" max="8" width="12.109375" customWidth="1"/>
    <col min="9" max="9" width="10.6640625" customWidth="1"/>
    <col min="10" max="10" width="30.77734375" customWidth="1"/>
    <col min="11" max="11" width="12.109375" customWidth="1"/>
    <col min="12" max="12" width="4.88671875" customWidth="1"/>
  </cols>
  <sheetData>
    <row r="1" spans="1:18" ht="25.8" x14ac:dyDescent="0.3">
      <c r="A1" s="414" t="s">
        <v>192</v>
      </c>
      <c r="B1" s="415"/>
      <c r="C1" s="415"/>
      <c r="D1" s="415"/>
      <c r="E1" s="415"/>
      <c r="F1" s="415"/>
      <c r="G1" s="415"/>
      <c r="H1" s="415"/>
      <c r="I1" s="415"/>
      <c r="J1" s="415"/>
      <c r="K1" s="415"/>
      <c r="L1" s="415"/>
      <c r="M1" s="415"/>
      <c r="N1" s="415"/>
      <c r="O1" s="415"/>
      <c r="P1" s="415"/>
      <c r="Q1" s="415"/>
      <c r="R1" s="415"/>
    </row>
    <row r="2" spans="1:18" ht="21" customHeight="1" x14ac:dyDescent="0.3">
      <c r="A2" s="416" t="s">
        <v>207</v>
      </c>
      <c r="B2" s="417"/>
      <c r="C2" s="417"/>
      <c r="D2" s="417"/>
      <c r="E2" s="417"/>
      <c r="F2" s="417"/>
      <c r="G2" s="417"/>
      <c r="H2" s="417"/>
      <c r="I2" s="417"/>
      <c r="J2" s="417"/>
      <c r="K2" s="417"/>
      <c r="L2" s="417"/>
      <c r="M2" s="417"/>
      <c r="N2" s="417"/>
      <c r="O2" s="417"/>
      <c r="P2" s="417"/>
      <c r="Q2" s="417"/>
      <c r="R2" s="417"/>
    </row>
    <row r="3" spans="1:18" ht="21" x14ac:dyDescent="0.3">
      <c r="A3" s="161"/>
      <c r="B3" s="161"/>
      <c r="C3" s="161"/>
      <c r="D3" s="161"/>
      <c r="E3" s="161"/>
      <c r="F3" s="161"/>
      <c r="G3" s="161"/>
      <c r="H3" s="161"/>
      <c r="I3" s="161"/>
      <c r="J3" s="161"/>
      <c r="K3" s="161"/>
      <c r="L3" s="161"/>
      <c r="M3" s="161"/>
    </row>
    <row r="4" spans="1:18" ht="21" x14ac:dyDescent="0.3">
      <c r="A4" s="385" t="s">
        <v>199</v>
      </c>
      <c r="B4" s="384"/>
      <c r="C4" s="384"/>
      <c r="D4" s="384"/>
      <c r="E4" s="384"/>
      <c r="F4" s="384"/>
      <c r="G4" s="384"/>
      <c r="H4" s="384"/>
      <c r="I4" s="384"/>
      <c r="J4" s="384"/>
      <c r="K4" s="384"/>
      <c r="L4" s="384"/>
      <c r="M4" s="419" t="s">
        <v>219</v>
      </c>
      <c r="N4" s="419"/>
      <c r="O4" s="419"/>
      <c r="P4" s="419"/>
      <c r="Q4" s="419"/>
      <c r="R4" s="419"/>
    </row>
    <row r="6" spans="1:18" ht="15.6" x14ac:dyDescent="0.3">
      <c r="A6" s="388" t="s">
        <v>193</v>
      </c>
      <c r="B6" s="389"/>
      <c r="D6" s="395" t="s">
        <v>196</v>
      </c>
      <c r="E6" s="396"/>
      <c r="G6" s="388" t="s">
        <v>169</v>
      </c>
      <c r="H6" s="389"/>
      <c r="J6" s="407" t="s">
        <v>199</v>
      </c>
      <c r="K6" s="408"/>
    </row>
    <row r="7" spans="1:18" ht="15.6" x14ac:dyDescent="0.3">
      <c r="A7" s="390" t="s">
        <v>21</v>
      </c>
      <c r="B7" s="391">
        <f>'Control Panel'!B28</f>
        <v>46367.08</v>
      </c>
      <c r="D7" s="397" t="s">
        <v>18</v>
      </c>
      <c r="E7" s="398">
        <f>'Control Panel'!B21</f>
        <v>24.95</v>
      </c>
      <c r="G7" s="402" t="s">
        <v>198</v>
      </c>
      <c r="H7" s="403">
        <f>Equity_Returns!C17</f>
        <v>3</v>
      </c>
      <c r="J7" s="390" t="s">
        <v>21</v>
      </c>
      <c r="K7" s="409">
        <f>B7</f>
        <v>46367.08</v>
      </c>
    </row>
    <row r="8" spans="1:18" ht="15.6" x14ac:dyDescent="0.3">
      <c r="A8" s="390" t="s">
        <v>17</v>
      </c>
      <c r="B8" s="392">
        <f>'Control Panel'!B20</f>
        <v>24.95</v>
      </c>
      <c r="D8" s="397" t="s">
        <v>166</v>
      </c>
      <c r="E8" s="399">
        <f>Equity_Returns!C11</f>
        <v>5713.6617175307492</v>
      </c>
      <c r="G8" s="402" t="s">
        <v>25</v>
      </c>
      <c r="H8" s="404">
        <f>Equity_Returns!C18</f>
        <v>4.5814501316392784</v>
      </c>
      <c r="J8" s="390" t="s">
        <v>200</v>
      </c>
      <c r="K8" s="410">
        <f>'Control Panel'!B23</f>
        <v>0.5</v>
      </c>
    </row>
    <row r="9" spans="1:18" ht="15.6" x14ac:dyDescent="0.3">
      <c r="A9" s="390" t="s">
        <v>194</v>
      </c>
      <c r="B9" s="391">
        <f>Income_Statement!B8</f>
        <v>2078.74575</v>
      </c>
      <c r="D9" s="397" t="s">
        <v>167</v>
      </c>
      <c r="E9" s="399">
        <f>Equity_Returns!H7</f>
        <v>142555.8598523922</v>
      </c>
      <c r="G9" s="405" t="s">
        <v>24</v>
      </c>
      <c r="H9" s="406">
        <f>Equity_Returns!C19</f>
        <v>0.66086495442303184</v>
      </c>
      <c r="J9" s="390" t="s">
        <v>201</v>
      </c>
      <c r="K9" s="411">
        <f>'Control Panel'!B21</f>
        <v>24.95</v>
      </c>
    </row>
    <row r="10" spans="1:18" ht="15.6" x14ac:dyDescent="0.3">
      <c r="A10" s="390" t="s">
        <v>156</v>
      </c>
      <c r="B10" s="391">
        <f>LBO_Sources_Uses!C11</f>
        <v>23183.54</v>
      </c>
      <c r="D10" s="397" t="s">
        <v>197</v>
      </c>
      <c r="E10" s="399">
        <f>Equity_Returns!C13</f>
        <v>0</v>
      </c>
      <c r="J10" s="390" t="s">
        <v>191</v>
      </c>
      <c r="K10" s="411">
        <f>H7</f>
        <v>3</v>
      </c>
    </row>
    <row r="11" spans="1:18" ht="15.6" x14ac:dyDescent="0.3">
      <c r="A11" s="390" t="s">
        <v>22</v>
      </c>
      <c r="B11" s="391">
        <f>LBO_Sources_Uses!C12</f>
        <v>31115.881600000001</v>
      </c>
      <c r="D11" s="400" t="s">
        <v>23</v>
      </c>
      <c r="E11" s="401">
        <f>Equity_Returns!C14</f>
        <v>142555.8598523922</v>
      </c>
      <c r="J11" s="390" t="s">
        <v>84</v>
      </c>
      <c r="K11" s="410">
        <f>'Control Panel'!B13</f>
        <v>0.11</v>
      </c>
    </row>
    <row r="12" spans="1:18" ht="15.6" x14ac:dyDescent="0.3">
      <c r="A12" s="393" t="s">
        <v>195</v>
      </c>
      <c r="B12" s="394">
        <f>B10/B7</f>
        <v>0.5</v>
      </c>
      <c r="J12" s="393" t="s">
        <v>202</v>
      </c>
      <c r="K12" s="412">
        <f>'Control Panel'!B33</f>
        <v>0.02</v>
      </c>
    </row>
    <row r="15" spans="1:18" ht="21" customHeight="1" x14ac:dyDescent="0.3">
      <c r="A15" s="418" t="s">
        <v>218</v>
      </c>
      <c r="B15" s="386"/>
      <c r="C15" s="386"/>
      <c r="D15" s="386"/>
      <c r="E15" s="386"/>
      <c r="F15" s="386"/>
      <c r="G15" s="386"/>
      <c r="H15" s="386"/>
      <c r="I15" s="386"/>
      <c r="J15" s="386"/>
      <c r="K15" s="386"/>
      <c r="L15" s="386"/>
      <c r="M15" s="413"/>
    </row>
  </sheetData>
  <mergeCells count="6">
    <mergeCell ref="A6:B6"/>
    <mergeCell ref="G6:H6"/>
    <mergeCell ref="D6:E6"/>
    <mergeCell ref="A1:R1"/>
    <mergeCell ref="A2:R2"/>
    <mergeCell ref="M4:R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118E7-56BD-4077-8685-A18E60ED78CC}">
  <dimension ref="A1:AC5"/>
  <sheetViews>
    <sheetView workbookViewId="0">
      <selection activeCell="H2" sqref="H2:L2"/>
    </sheetView>
  </sheetViews>
  <sheetFormatPr defaultRowHeight="14.4" x14ac:dyDescent="0.3"/>
  <cols>
    <col min="1" max="1" width="25.109375" bestFit="1" customWidth="1"/>
    <col min="2" max="2" width="10.88671875" style="231" bestFit="1" customWidth="1"/>
    <col min="7" max="7" width="12.77734375" bestFit="1" customWidth="1"/>
    <col min="8" max="8" width="9.88671875" bestFit="1" customWidth="1"/>
    <col min="17" max="17" width="9.88671875" bestFit="1" customWidth="1"/>
    <col min="24" max="24" width="12.77734375" bestFit="1" customWidth="1"/>
    <col min="25" max="25" width="9.88671875" bestFit="1" customWidth="1"/>
  </cols>
  <sheetData>
    <row r="1" spans="1:29" x14ac:dyDescent="0.3">
      <c r="A1" t="s">
        <v>203</v>
      </c>
      <c r="B1" s="231" t="s">
        <v>118</v>
      </c>
      <c r="G1" t="s">
        <v>208</v>
      </c>
      <c r="P1" t="s">
        <v>212</v>
      </c>
      <c r="X1" t="s">
        <v>220</v>
      </c>
    </row>
    <row r="2" spans="1:29" x14ac:dyDescent="0.3">
      <c r="A2" t="s">
        <v>204</v>
      </c>
      <c r="B2" s="383">
        <f>Equity_Returns!H6</f>
        <v>31115.881600000001</v>
      </c>
      <c r="G2" t="s">
        <v>209</v>
      </c>
      <c r="H2" s="2" t="s">
        <v>37</v>
      </c>
      <c r="I2" s="2" t="s">
        <v>38</v>
      </c>
      <c r="J2" s="2" t="s">
        <v>39</v>
      </c>
      <c r="K2" s="2" t="s">
        <v>40</v>
      </c>
      <c r="L2" s="2" t="s">
        <v>41</v>
      </c>
      <c r="P2" t="s">
        <v>213</v>
      </c>
      <c r="Q2" t="s">
        <v>214</v>
      </c>
      <c r="X2" t="s">
        <v>209</v>
      </c>
      <c r="Y2" s="2" t="s">
        <v>37</v>
      </c>
      <c r="Z2" s="2" t="s">
        <v>38</v>
      </c>
      <c r="AA2" s="2" t="s">
        <v>39</v>
      </c>
      <c r="AB2" s="2" t="s">
        <v>40</v>
      </c>
      <c r="AC2" s="2" t="s">
        <v>41</v>
      </c>
    </row>
    <row r="3" spans="1:29" x14ac:dyDescent="0.3">
      <c r="A3" t="s">
        <v>205</v>
      </c>
      <c r="B3" s="383">
        <f>Equity_Returns!C6-Equity_Returns!C13</f>
        <v>23183.54</v>
      </c>
      <c r="G3" t="s">
        <v>210</v>
      </c>
      <c r="H3" s="382">
        <f>LBO_Debt_Schedule!C11</f>
        <v>8705.5238707156313</v>
      </c>
      <c r="I3" s="382">
        <f>LBO_Debt_Schedule!D11</f>
        <v>0</v>
      </c>
      <c r="J3" s="382">
        <f>LBO_Debt_Schedule!E11</f>
        <v>0</v>
      </c>
      <c r="K3" s="382">
        <f>LBO_Debt_Schedule!F11</f>
        <v>0</v>
      </c>
      <c r="L3" s="382">
        <f>LBO_Debt_Schedule!G11</f>
        <v>0</v>
      </c>
      <c r="P3" t="s">
        <v>215</v>
      </c>
      <c r="Q3" s="61">
        <f>LBO_Sources_Uses!C11</f>
        <v>23183.54</v>
      </c>
      <c r="X3" t="s">
        <v>44</v>
      </c>
      <c r="Y3" s="382">
        <f>Income_Statement!C8</f>
        <v>2774.3573441250001</v>
      </c>
    </row>
    <row r="4" spans="1:29" x14ac:dyDescent="0.3">
      <c r="A4" t="s">
        <v>206</v>
      </c>
      <c r="B4" s="383">
        <f>Equity_Returns!H8-Equity_Returns!H6-(Equity_Returns!C6-Equity_Returns!C13)</f>
        <v>88256.438252392196</v>
      </c>
      <c r="G4" t="s">
        <v>44</v>
      </c>
      <c r="H4" s="382">
        <f>Income_Statement!C8</f>
        <v>2774.3573441250001</v>
      </c>
      <c r="I4" s="382">
        <f>Income_Statement!D8</f>
        <v>3545.3056441831877</v>
      </c>
      <c r="J4" s="382">
        <f>Income_Statement!E8</f>
        <v>4331.7879605613061</v>
      </c>
      <c r="K4" s="382">
        <f>Income_Statement!F8</f>
        <v>4901.4180773751177</v>
      </c>
      <c r="L4" s="382">
        <f>Income_Statement!G8</f>
        <v>5713.6617175307492</v>
      </c>
      <c r="P4" t="s">
        <v>216</v>
      </c>
      <c r="Q4" s="61">
        <f>LBO_Sources_Uses!C12</f>
        <v>31115.881600000001</v>
      </c>
    </row>
    <row r="5" spans="1:29" x14ac:dyDescent="0.3">
      <c r="A5" t="s">
        <v>23</v>
      </c>
      <c r="B5" s="383">
        <f>Equity_Returns!H8</f>
        <v>142555.8598523922</v>
      </c>
      <c r="G5" t="s">
        <v>211</v>
      </c>
      <c r="H5" s="387">
        <f>IFERROR(H3/H4,0)</f>
        <v>3.1378524072072094</v>
      </c>
      <c r="I5" s="387">
        <f t="shared" ref="I5:L5" si="0">IFERROR(I3/I4,0)</f>
        <v>0</v>
      </c>
      <c r="J5" s="387">
        <f t="shared" si="0"/>
        <v>0</v>
      </c>
      <c r="K5" s="387">
        <f t="shared" si="0"/>
        <v>0</v>
      </c>
      <c r="L5" s="387">
        <f t="shared" si="0"/>
        <v>0</v>
      </c>
      <c r="P5" t="s">
        <v>217</v>
      </c>
      <c r="Q5" s="61">
        <f>SUM(Q3:Q4)</f>
        <v>54299.421600000001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Cover</vt:lpstr>
      <vt:lpstr>Control Panel</vt:lpstr>
      <vt:lpstr>Scenario Assumptions</vt:lpstr>
      <vt:lpstr>Operating Drivers</vt:lpstr>
      <vt:lpstr>Capex_Depreciation</vt:lpstr>
      <vt:lpstr>Debt_Interest</vt:lpstr>
      <vt:lpstr>Income_Statement</vt:lpstr>
      <vt:lpstr>Balance_Sheet</vt:lpstr>
      <vt:lpstr>Cash_Flow</vt:lpstr>
      <vt:lpstr>WACC</vt:lpstr>
      <vt:lpstr>DCF_Valuation</vt:lpstr>
      <vt:lpstr>LBO_Sources_Uses</vt:lpstr>
      <vt:lpstr>Equity_Returns</vt:lpstr>
      <vt:lpstr>LBO_Debt_Schedule</vt:lpstr>
      <vt:lpstr>Exit_Comparison</vt:lpstr>
      <vt:lpstr>IRR_Sensitivity</vt:lpstr>
      <vt:lpstr>LBO_Dashboard</vt:lpstr>
      <vt:lpstr>Helper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Gupta</dc:creator>
  <cp:lastModifiedBy>Akshat Gupta</cp:lastModifiedBy>
  <dcterms:created xsi:type="dcterms:W3CDTF">2015-06-05T18:17:20Z</dcterms:created>
  <dcterms:modified xsi:type="dcterms:W3CDTF">2025-12-27T11:05:05Z</dcterms:modified>
</cp:coreProperties>
</file>