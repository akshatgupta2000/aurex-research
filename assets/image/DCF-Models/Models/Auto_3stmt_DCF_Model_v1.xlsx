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Music\Job &amp; Future\Future\Blogs &amp; Future\Aurex Research\3M Models\"/>
    </mc:Choice>
  </mc:AlternateContent>
  <xr:revisionPtr revIDLastSave="0" documentId="13_ncr:1_{E9605847-E62C-46BC-B328-34F264634995}" xr6:coauthVersionLast="47" xr6:coauthVersionMax="47" xr10:uidLastSave="{00000000-0000-0000-0000-000000000000}"/>
  <bookViews>
    <workbookView xWindow="1920" yWindow="1920" windowWidth="17280" windowHeight="8880" firstSheet="1" activeTab="1" xr2:uid="{00000000-000D-0000-FFFF-FFFF00000000}"/>
  </bookViews>
  <sheets>
    <sheet name="Control" sheetId="1" r:id="rId1"/>
    <sheet name="Assumptions" sheetId="2" r:id="rId2"/>
    <sheet name="Revenue_Drivers" sheetId="3" r:id="rId3"/>
    <sheet name="Operating_Costs" sheetId="4" r:id="rId4"/>
    <sheet name="Working_Capital" sheetId="5" r:id="rId5"/>
    <sheet name="Capex_Depreciation" sheetId="6" r:id="rId6"/>
    <sheet name="Debt_Interest" sheetId="7" r:id="rId7"/>
    <sheet name="Income_Statement" sheetId="8" r:id="rId8"/>
    <sheet name="Balance_Sheet" sheetId="9" r:id="rId9"/>
    <sheet name="Cash_Flow" sheetId="10" r:id="rId10"/>
    <sheet name="WACC" sheetId="11" r:id="rId11"/>
    <sheet name="DCF_Valuation" sheetId="12" r:id="rId12"/>
    <sheet name="Sensitivity" sheetId="13" r:id="rId13"/>
    <sheet name="Stress_Test" sheetId="14" r:id="rId14"/>
    <sheet name="Output_Dashboard"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5" l="1"/>
  <c r="C18" i="15"/>
  <c r="D18" i="15"/>
  <c r="E18" i="15"/>
  <c r="F18" i="15"/>
  <c r="G18" i="15"/>
  <c r="H18" i="15"/>
  <c r="I18" i="15"/>
  <c r="B19" i="15"/>
  <c r="C19" i="15"/>
  <c r="D19" i="15"/>
  <c r="E19" i="15"/>
  <c r="F19" i="15"/>
  <c r="G19" i="15"/>
  <c r="B20" i="15"/>
  <c r="C20" i="15"/>
  <c r="D20" i="15"/>
  <c r="E20" i="15"/>
  <c r="F20" i="15"/>
  <c r="G20" i="15"/>
  <c r="H20" i="15"/>
  <c r="B21" i="15"/>
  <c r="C21" i="15"/>
  <c r="D21" i="15"/>
  <c r="E21" i="15"/>
  <c r="F21" i="15"/>
  <c r="G21" i="15"/>
  <c r="H21" i="15"/>
  <c r="B22" i="15"/>
  <c r="C22" i="15"/>
  <c r="D22" i="15"/>
  <c r="E22" i="15"/>
  <c r="F22" i="15"/>
  <c r="G22" i="15"/>
  <c r="H22" i="15"/>
  <c r="A19" i="15"/>
  <c r="A20" i="15"/>
  <c r="A21" i="15"/>
  <c r="A22" i="15"/>
  <c r="A18" i="15"/>
  <c r="E14" i="15"/>
  <c r="E13" i="15"/>
  <c r="E12" i="15"/>
  <c r="E11" i="15"/>
  <c r="E10" i="15"/>
  <c r="E9" i="15"/>
  <c r="B4" i="15"/>
  <c r="B12" i="1"/>
  <c r="B7" i="2"/>
  <c r="I5" i="13" s="1"/>
  <c r="B20" i="11"/>
  <c r="E5" i="6"/>
  <c r="E15" i="4"/>
  <c r="E9" i="5"/>
  <c r="B9" i="11"/>
  <c r="F9" i="7"/>
  <c r="G9" i="7"/>
  <c r="H9" i="7"/>
  <c r="I9" i="7"/>
  <c r="E9" i="7"/>
  <c r="B8" i="11"/>
  <c r="B5" i="11" a="1"/>
  <c r="B5" i="11" s="1"/>
  <c r="B4" i="11"/>
  <c r="B3" i="9"/>
  <c r="E12" i="10"/>
  <c r="F12" i="10"/>
  <c r="G12" i="10"/>
  <c r="H12" i="10"/>
  <c r="I12" i="10"/>
  <c r="E11" i="10"/>
  <c r="E13" i="10" s="1"/>
  <c r="F11" i="10"/>
  <c r="G11" i="10"/>
  <c r="H11" i="10"/>
  <c r="I11" i="10"/>
  <c r="C8" i="10"/>
  <c r="C9" i="10" s="1"/>
  <c r="D8" i="10"/>
  <c r="D9" i="10" s="1"/>
  <c r="B8" i="10"/>
  <c r="B9" i="10" s="1"/>
  <c r="B5" i="10"/>
  <c r="E18" i="9"/>
  <c r="F18" i="9" s="1"/>
  <c r="G18" i="9" s="1"/>
  <c r="H18" i="9" s="1"/>
  <c r="I18" i="9" s="1"/>
  <c r="E14" i="9"/>
  <c r="F14" i="9" s="1"/>
  <c r="G14" i="9" s="1"/>
  <c r="E10" i="9"/>
  <c r="F10" i="9" s="1"/>
  <c r="G10" i="9" s="1"/>
  <c r="H10" i="9" s="1"/>
  <c r="I10" i="9" s="1"/>
  <c r="E6" i="9"/>
  <c r="F6" i="9" s="1"/>
  <c r="G6" i="9" s="1"/>
  <c r="H6" i="9" s="1"/>
  <c r="I6" i="9" s="1"/>
  <c r="E21" i="9"/>
  <c r="F21" i="9" s="1"/>
  <c r="G21" i="9" s="1"/>
  <c r="D3" i="9"/>
  <c r="D16" i="10" s="1"/>
  <c r="C3" i="9"/>
  <c r="C16" i="10" s="1"/>
  <c r="B23" i="9"/>
  <c r="C4" i="9"/>
  <c r="D4" i="9"/>
  <c r="B4" i="9"/>
  <c r="C5" i="9"/>
  <c r="D5" i="9"/>
  <c r="B5" i="9"/>
  <c r="C15" i="8"/>
  <c r="D15" i="8"/>
  <c r="B15" i="8"/>
  <c r="C7" i="8"/>
  <c r="D7" i="8"/>
  <c r="C8" i="8"/>
  <c r="D8" i="8"/>
  <c r="B8" i="8"/>
  <c r="B7" i="8"/>
  <c r="C3" i="8"/>
  <c r="D3" i="8"/>
  <c r="B3" i="8"/>
  <c r="D5" i="7"/>
  <c r="D12" i="10" s="1"/>
  <c r="D4" i="7"/>
  <c r="D11" i="10" s="1"/>
  <c r="C5" i="7"/>
  <c r="C12" i="10" s="1"/>
  <c r="B5" i="7"/>
  <c r="B12" i="10" s="1"/>
  <c r="C4" i="7"/>
  <c r="C11" i="10" s="1"/>
  <c r="B4" i="7"/>
  <c r="B11" i="10" s="1"/>
  <c r="D3" i="7"/>
  <c r="C3" i="7"/>
  <c r="B3" i="7"/>
  <c r="C10" i="6"/>
  <c r="C12" i="8" s="1"/>
  <c r="C4" i="10" s="1"/>
  <c r="D10" i="6"/>
  <c r="D12" i="8" s="1"/>
  <c r="D4" i="10" s="1"/>
  <c r="B10" i="6"/>
  <c r="B12" i="8" s="1"/>
  <c r="B4" i="10" s="1"/>
  <c r="D13" i="5"/>
  <c r="C13" i="5"/>
  <c r="C13" i="9" s="1"/>
  <c r="C15" i="9" s="1"/>
  <c r="B13" i="5"/>
  <c r="B15" i="5" s="1"/>
  <c r="D6" i="4"/>
  <c r="D4" i="5" s="1"/>
  <c r="C6" i="4"/>
  <c r="C4" i="5" s="1"/>
  <c r="C9" i="5" s="1"/>
  <c r="B6" i="4"/>
  <c r="B4" i="5" s="1"/>
  <c r="B4" i="8" s="1"/>
  <c r="C3" i="4"/>
  <c r="C11" i="4" s="1"/>
  <c r="D3" i="4"/>
  <c r="D3" i="5" s="1"/>
  <c r="B3" i="4"/>
  <c r="B8" i="4" s="1"/>
  <c r="B3" i="3"/>
  <c r="E3" i="3" s="1"/>
  <c r="F3" i="3" s="1"/>
  <c r="G3" i="3" s="1"/>
  <c r="B5" i="3"/>
  <c r="D5" i="3"/>
  <c r="D4" i="3" s="1"/>
  <c r="C5" i="3"/>
  <c r="C4" i="3" s="1"/>
  <c r="B17" i="2" a="1"/>
  <c r="B17" i="2" s="1"/>
  <c r="B13" i="11" s="1"/>
  <c r="B24" i="12" s="1"/>
  <c r="I5" i="14" s="1"/>
  <c r="I20" i="15" s="1"/>
  <c r="B16" i="2" a="1"/>
  <c r="B16" i="2" s="1"/>
  <c r="B12" i="11" s="1"/>
  <c r="B22" i="12" s="1"/>
  <c r="B4" i="1" a="1"/>
  <c r="B4" i="1" s="1"/>
  <c r="B4" i="2" a="1"/>
  <c r="B4" i="2" s="1"/>
  <c r="B3" i="11" s="1"/>
  <c r="B9" i="15" l="1"/>
  <c r="I7" i="14"/>
  <c r="I22" i="15" s="1"/>
  <c r="I6" i="14"/>
  <c r="I21" i="15" s="1"/>
  <c r="B15" i="12"/>
  <c r="I13" i="10"/>
  <c r="B4" i="3"/>
  <c r="E4" i="3" s="1"/>
  <c r="C3" i="5"/>
  <c r="C3" i="6" s="1"/>
  <c r="C5" i="6" s="1"/>
  <c r="B12" i="6"/>
  <c r="B9" i="9" s="1"/>
  <c r="C15" i="5"/>
  <c r="C17" i="5" s="1"/>
  <c r="C5" i="10" s="1"/>
  <c r="C13" i="10"/>
  <c r="C8" i="4"/>
  <c r="B13" i="10"/>
  <c r="H13" i="10"/>
  <c r="G13" i="10"/>
  <c r="F13" i="10"/>
  <c r="D3" i="6"/>
  <c r="D5" i="6" s="1"/>
  <c r="D6" i="5"/>
  <c r="E6" i="5" s="1"/>
  <c r="F6" i="5" s="1"/>
  <c r="G6" i="5" s="1"/>
  <c r="H6" i="5" s="1"/>
  <c r="I6" i="5" s="1"/>
  <c r="D13" i="10"/>
  <c r="B5" i="8"/>
  <c r="B6" i="7"/>
  <c r="C12" i="5"/>
  <c r="C12" i="6"/>
  <c r="C4" i="8"/>
  <c r="C5" i="8" s="1"/>
  <c r="B10" i="11"/>
  <c r="B11" i="4"/>
  <c r="B3" i="5"/>
  <c r="B16" i="5" s="1"/>
  <c r="D11" i="4"/>
  <c r="C6" i="7"/>
  <c r="D4" i="8"/>
  <c r="D5" i="8" s="1"/>
  <c r="B14" i="4"/>
  <c r="B18" i="4" s="1"/>
  <c r="B9" i="5"/>
  <c r="D12" i="5"/>
  <c r="E12" i="5" s="1"/>
  <c r="F12" i="5" s="1"/>
  <c r="G12" i="5" s="1"/>
  <c r="H12" i="5" s="1"/>
  <c r="I12" i="5" s="1"/>
  <c r="B9" i="6"/>
  <c r="B5" i="4"/>
  <c r="D9" i="5"/>
  <c r="F9" i="5" s="1"/>
  <c r="G9" i="5" s="1"/>
  <c r="H9" i="5" s="1"/>
  <c r="I9" i="5" s="1"/>
  <c r="B13" i="9"/>
  <c r="B15" i="9" s="1"/>
  <c r="D13" i="9"/>
  <c r="D15" i="9" s="1"/>
  <c r="D8" i="4"/>
  <c r="B12" i="5"/>
  <c r="B6" i="11"/>
  <c r="B14" i="11"/>
  <c r="H14" i="9"/>
  <c r="H21" i="9"/>
  <c r="I21" i="9" s="1"/>
  <c r="D6" i="7"/>
  <c r="D8" i="7" s="1"/>
  <c r="D9" i="7" s="1"/>
  <c r="D12" i="6"/>
  <c r="C9" i="6"/>
  <c r="D15" i="5"/>
  <c r="H3" i="3"/>
  <c r="C6" i="5" l="1"/>
  <c r="E8" i="4"/>
  <c r="C16" i="5"/>
  <c r="E11" i="4"/>
  <c r="E10" i="5"/>
  <c r="E5" i="9" s="1"/>
  <c r="C8" i="7"/>
  <c r="C9" i="7" s="1"/>
  <c r="C17" i="9"/>
  <c r="C19" i="9" s="1"/>
  <c r="B8" i="7"/>
  <c r="B9" i="7" s="1"/>
  <c r="B17" i="9"/>
  <c r="B19" i="9" s="1"/>
  <c r="B25" i="9" s="1"/>
  <c r="F8" i="4"/>
  <c r="G8" i="4" s="1"/>
  <c r="B6" i="5"/>
  <c r="B3" i="6"/>
  <c r="B5" i="6" s="1"/>
  <c r="F4" i="3"/>
  <c r="D16" i="5"/>
  <c r="E8" i="6"/>
  <c r="D9" i="9"/>
  <c r="E3" i="7"/>
  <c r="D17" i="9"/>
  <c r="B15" i="11" s="1"/>
  <c r="B20" i="12" s="1"/>
  <c r="B15" i="4"/>
  <c r="B10" i="8"/>
  <c r="B13" i="8" s="1"/>
  <c r="B16" i="8" s="1"/>
  <c r="B19" i="8" s="1"/>
  <c r="B3" i="10" s="1"/>
  <c r="B6" i="10" s="1"/>
  <c r="B15" i="10" s="1"/>
  <c r="D9" i="6"/>
  <c r="E9" i="6" s="1"/>
  <c r="C9" i="9"/>
  <c r="D17" i="5"/>
  <c r="D5" i="10" s="1"/>
  <c r="I14" i="9"/>
  <c r="I3" i="3"/>
  <c r="H8" i="4" l="1"/>
  <c r="I8" i="4" s="1"/>
  <c r="E16" i="5"/>
  <c r="F11" i="4"/>
  <c r="G11" i="4" s="1"/>
  <c r="G4" i="3"/>
  <c r="G5" i="3" s="1"/>
  <c r="F5" i="3"/>
  <c r="E6" i="7"/>
  <c r="F3" i="7" s="1"/>
  <c r="I16" i="5"/>
  <c r="H16" i="5"/>
  <c r="G16" i="5"/>
  <c r="F5" i="6"/>
  <c r="G5" i="6" s="1"/>
  <c r="H5" i="6" s="1"/>
  <c r="D19" i="9"/>
  <c r="B16" i="11"/>
  <c r="F16" i="5"/>
  <c r="E10" i="6"/>
  <c r="E12" i="8" s="1"/>
  <c r="F9" i="6"/>
  <c r="G9" i="6" s="1"/>
  <c r="H4" i="3" l="1"/>
  <c r="H5" i="3" s="1"/>
  <c r="H11" i="4"/>
  <c r="I11" i="4" s="1"/>
  <c r="E4" i="10"/>
  <c r="B5" i="12"/>
  <c r="E8" i="7"/>
  <c r="E10" i="7" s="1"/>
  <c r="E15" i="8" s="1"/>
  <c r="F6" i="7"/>
  <c r="G3" i="7" s="1"/>
  <c r="I4" i="3"/>
  <c r="I5" i="3" s="1"/>
  <c r="B18" i="11"/>
  <c r="B17" i="11"/>
  <c r="I5" i="6"/>
  <c r="H9" i="6"/>
  <c r="I9" i="6" s="1"/>
  <c r="C5" i="4"/>
  <c r="C14" i="4"/>
  <c r="D5" i="4"/>
  <c r="D14" i="4"/>
  <c r="C15" i="4" l="1"/>
  <c r="C10" i="8"/>
  <c r="C13" i="8" s="1"/>
  <c r="C16" i="8" s="1"/>
  <c r="D15" i="4"/>
  <c r="D10" i="8"/>
  <c r="D13" i="8" s="1"/>
  <c r="D16" i="8" s="1"/>
  <c r="E5" i="4"/>
  <c r="F8" i="7"/>
  <c r="F10" i="7" s="1"/>
  <c r="F15" i="8" s="1"/>
  <c r="G6" i="7"/>
  <c r="H3" i="7" s="1"/>
  <c r="C18" i="4"/>
  <c r="D18" i="4"/>
  <c r="G8" i="7" l="1"/>
  <c r="G10" i="7" s="1"/>
  <c r="G15" i="8" s="1"/>
  <c r="B11" i="12"/>
  <c r="I4" i="13" s="1"/>
  <c r="F5" i="4"/>
  <c r="C18" i="8"/>
  <c r="C19" i="8" s="1"/>
  <c r="H6" i="7"/>
  <c r="I3" i="7" s="1"/>
  <c r="D18" i="8"/>
  <c r="D19" i="8" s="1"/>
  <c r="D3" i="10" s="1"/>
  <c r="D6" i="10" s="1"/>
  <c r="D15" i="10" s="1"/>
  <c r="D17" i="10" s="1"/>
  <c r="E16" i="10" s="1"/>
  <c r="H8" i="7" l="1"/>
  <c r="H10" i="7" s="1"/>
  <c r="H15" i="8" s="1"/>
  <c r="B12" i="12"/>
  <c r="C22" i="9"/>
  <c r="C3" i="10"/>
  <c r="C6" i="10" s="1"/>
  <c r="C15" i="10" s="1"/>
  <c r="C17" i="10" s="1"/>
  <c r="G5" i="4"/>
  <c r="I6" i="7"/>
  <c r="I8" i="7" s="1"/>
  <c r="I10" i="7" s="1"/>
  <c r="I15" i="8" s="1"/>
  <c r="H5" i="4" l="1"/>
  <c r="D22" i="9"/>
  <c r="C23" i="9"/>
  <c r="C25" i="9" s="1"/>
  <c r="C7" i="9" s="1"/>
  <c r="C11" i="9" s="1"/>
  <c r="I5" i="4" l="1"/>
  <c r="D23" i="9"/>
  <c r="D25" i="9" s="1"/>
  <c r="D7" i="9" s="1"/>
  <c r="D11" i="9" s="1"/>
  <c r="B16" i="10" l="1"/>
  <c r="B17" i="10" s="1"/>
  <c r="B7" i="9"/>
  <c r="B11" i="9" s="1"/>
  <c r="E5" i="3" l="1"/>
  <c r="E7" i="3" l="1"/>
  <c r="E3" i="4" s="1"/>
  <c r="E9" i="4" s="1"/>
  <c r="E7" i="8" s="1"/>
  <c r="F7" i="3" l="1"/>
  <c r="F3" i="8" s="1"/>
  <c r="E3" i="8"/>
  <c r="E6" i="4"/>
  <c r="E4" i="5" s="1"/>
  <c r="E13" i="5" s="1"/>
  <c r="E13" i="9" s="1"/>
  <c r="E15" i="9" s="1"/>
  <c r="E12" i="4"/>
  <c r="E8" i="8" s="1"/>
  <c r="E3" i="5"/>
  <c r="E20" i="5" s="1"/>
  <c r="E5" i="10" s="1"/>
  <c r="B7" i="12" s="1"/>
  <c r="G7" i="3" l="1"/>
  <c r="G3" i="8" s="1"/>
  <c r="F3" i="4"/>
  <c r="F9" i="4" s="1"/>
  <c r="F7" i="8" s="1"/>
  <c r="E4" i="8"/>
  <c r="E5" i="8" s="1"/>
  <c r="E14" i="4"/>
  <c r="E18" i="4" s="1"/>
  <c r="E7" i="5"/>
  <c r="E15" i="5" s="1"/>
  <c r="E17" i="5" s="1"/>
  <c r="E3" i="6"/>
  <c r="E6" i="6" s="1"/>
  <c r="E8" i="10" s="1"/>
  <c r="E19" i="5"/>
  <c r="F10" i="5"/>
  <c r="F5" i="9" s="1"/>
  <c r="F6" i="4"/>
  <c r="F4" i="5" s="1"/>
  <c r="G3" i="4"/>
  <c r="H7" i="3"/>
  <c r="F3" i="5" l="1"/>
  <c r="E10" i="8"/>
  <c r="E13" i="8" s="1"/>
  <c r="F12" i="4"/>
  <c r="F8" i="8" s="1"/>
  <c r="E4" i="9"/>
  <c r="E12" i="6"/>
  <c r="F8" i="6" s="1"/>
  <c r="F14" i="4"/>
  <c r="F18" i="4" s="1"/>
  <c r="G10" i="5"/>
  <c r="G5" i="9" s="1"/>
  <c r="F4" i="8"/>
  <c r="F5" i="8" s="1"/>
  <c r="F13" i="5"/>
  <c r="F13" i="9" s="1"/>
  <c r="F15" i="9" s="1"/>
  <c r="G6" i="4"/>
  <c r="G4" i="5" s="1"/>
  <c r="G3" i="5"/>
  <c r="G9" i="4"/>
  <c r="G7" i="8" s="1"/>
  <c r="G12" i="4"/>
  <c r="G8" i="8" s="1"/>
  <c r="E9" i="10"/>
  <c r="B6" i="12"/>
  <c r="H3" i="8"/>
  <c r="I7" i="3"/>
  <c r="H3" i="4"/>
  <c r="B3" i="12"/>
  <c r="B4" i="12" s="1"/>
  <c r="E16" i="8"/>
  <c r="F3" i="6"/>
  <c r="F6" i="6" s="1"/>
  <c r="F8" i="10" s="1"/>
  <c r="F7" i="5"/>
  <c r="F19" i="5"/>
  <c r="F20" i="5"/>
  <c r="F5" i="10" s="1"/>
  <c r="C7" i="12" s="1"/>
  <c r="E9" i="9" l="1"/>
  <c r="F10" i="8"/>
  <c r="F15" i="4"/>
  <c r="F15" i="5"/>
  <c r="F17" i="5" s="1"/>
  <c r="F4" i="9"/>
  <c r="F10" i="6"/>
  <c r="F12" i="8" s="1"/>
  <c r="F13" i="8" s="1"/>
  <c r="G19" i="5"/>
  <c r="G20" i="5"/>
  <c r="G5" i="10" s="1"/>
  <c r="D7" i="12" s="1"/>
  <c r="G7" i="5"/>
  <c r="G3" i="6"/>
  <c r="G6" i="6" s="1"/>
  <c r="G8" i="10" s="1"/>
  <c r="I3" i="8"/>
  <c r="I3" i="4"/>
  <c r="G13" i="5"/>
  <c r="G13" i="9" s="1"/>
  <c r="G15" i="9" s="1"/>
  <c r="G4" i="8"/>
  <c r="G5" i="8" s="1"/>
  <c r="H10" i="5"/>
  <c r="H5" i="9" s="1"/>
  <c r="H12" i="4"/>
  <c r="H8" i="8" s="1"/>
  <c r="H9" i="4"/>
  <c r="H7" i="8" s="1"/>
  <c r="H6" i="4"/>
  <c r="H4" i="5" s="1"/>
  <c r="H3" i="5"/>
  <c r="E18" i="8"/>
  <c r="E19" i="8" s="1"/>
  <c r="F9" i="10"/>
  <c r="C6" i="12"/>
  <c r="G14" i="4"/>
  <c r="B8" i="12"/>
  <c r="F12" i="6" l="1"/>
  <c r="G8" i="6" s="1"/>
  <c r="H14" i="4"/>
  <c r="H18" i="4" s="1"/>
  <c r="C3" i="12"/>
  <c r="C4" i="12" s="1"/>
  <c r="F16" i="8"/>
  <c r="E3" i="10"/>
  <c r="E6" i="10" s="1"/>
  <c r="E15" i="10" s="1"/>
  <c r="E17" i="10" s="1"/>
  <c r="E22" i="9"/>
  <c r="G4" i="9"/>
  <c r="G15" i="5"/>
  <c r="G17" i="5" s="1"/>
  <c r="H4" i="8"/>
  <c r="H5" i="8" s="1"/>
  <c r="I10" i="5"/>
  <c r="I5" i="9" s="1"/>
  <c r="H13" i="5"/>
  <c r="H13" i="9" s="1"/>
  <c r="H15" i="9" s="1"/>
  <c r="H10" i="8"/>
  <c r="H15" i="4"/>
  <c r="H19" i="5"/>
  <c r="H7" i="5"/>
  <c r="H3" i="6"/>
  <c r="H6" i="6" s="1"/>
  <c r="H8" i="10" s="1"/>
  <c r="H20" i="5"/>
  <c r="H5" i="10" s="1"/>
  <c r="E7" i="12" s="1"/>
  <c r="I6" i="4"/>
  <c r="I4" i="5" s="1"/>
  <c r="I12" i="4"/>
  <c r="I8" i="8" s="1"/>
  <c r="I9" i="4"/>
  <c r="I7" i="8" s="1"/>
  <c r="I3" i="5"/>
  <c r="F4" i="10"/>
  <c r="C5" i="12"/>
  <c r="G15" i="4"/>
  <c r="G18" i="4"/>
  <c r="G10" i="8"/>
  <c r="G9" i="10"/>
  <c r="D6" i="12"/>
  <c r="F9" i="9" l="1"/>
  <c r="I3" i="6"/>
  <c r="I6" i="6" s="1"/>
  <c r="I8" i="10" s="1"/>
  <c r="I7" i="5"/>
  <c r="I19" i="5"/>
  <c r="I20" i="5"/>
  <c r="I5" i="10" s="1"/>
  <c r="F7" i="12" s="1"/>
  <c r="I14" i="4"/>
  <c r="H4" i="9"/>
  <c r="H15" i="5"/>
  <c r="H17" i="5" s="1"/>
  <c r="E23" i="9"/>
  <c r="I4" i="8"/>
  <c r="I5" i="8" s="1"/>
  <c r="I13" i="5"/>
  <c r="I13" i="9" s="1"/>
  <c r="I15" i="9" s="1"/>
  <c r="F16" i="10"/>
  <c r="E3" i="9"/>
  <c r="E7" i="9" s="1"/>
  <c r="E11" i="9" s="1"/>
  <c r="E17" i="9" s="1"/>
  <c r="E19" i="9" s="1"/>
  <c r="E25" i="9" s="1"/>
  <c r="H9" i="10"/>
  <c r="E6" i="12"/>
  <c r="F18" i="8"/>
  <c r="F19" i="8" s="1"/>
  <c r="G10" i="6"/>
  <c r="G12" i="8" s="1"/>
  <c r="G13" i="8" s="1"/>
  <c r="C8" i="12"/>
  <c r="G12" i="6" l="1"/>
  <c r="G9" i="9" s="1"/>
  <c r="F3" i="10"/>
  <c r="F6" i="10" s="1"/>
  <c r="F15" i="10" s="1"/>
  <c r="F17" i="10" s="1"/>
  <c r="F22" i="9"/>
  <c r="I10" i="8"/>
  <c r="I18" i="4"/>
  <c r="I15" i="4"/>
  <c r="D3" i="12"/>
  <c r="D4" i="12" s="1"/>
  <c r="D8" i="12" s="1"/>
  <c r="G16" i="8"/>
  <c r="H8" i="6"/>
  <c r="G4" i="10"/>
  <c r="D5" i="12"/>
  <c r="I15" i="5"/>
  <c r="I17" i="5" s="1"/>
  <c r="I4" i="9"/>
  <c r="I9" i="10"/>
  <c r="F6" i="12"/>
  <c r="G18" i="8" l="1"/>
  <c r="G19" i="8" s="1"/>
  <c r="H10" i="6"/>
  <c r="H12" i="8" s="1"/>
  <c r="F23" i="9"/>
  <c r="F3" i="9"/>
  <c r="F7" i="9" s="1"/>
  <c r="F11" i="9" s="1"/>
  <c r="F17" i="9" s="1"/>
  <c r="F19" i="9" s="1"/>
  <c r="F25" i="9" s="1"/>
  <c r="G16" i="10"/>
  <c r="G3" i="10" l="1"/>
  <c r="G6" i="10" s="1"/>
  <c r="G15" i="10" s="1"/>
  <c r="G17" i="10" s="1"/>
  <c r="G22" i="9"/>
  <c r="H4" i="10"/>
  <c r="E5" i="12"/>
  <c r="H13" i="8"/>
  <c r="H12" i="6"/>
  <c r="H9" i="9" l="1"/>
  <c r="I8" i="6"/>
  <c r="G23" i="9"/>
  <c r="H16" i="8"/>
  <c r="E3" i="12"/>
  <c r="E4" i="12" s="1"/>
  <c r="E8" i="12" s="1"/>
  <c r="H16" i="10"/>
  <c r="G3" i="9"/>
  <c r="G7" i="9" s="1"/>
  <c r="G11" i="9" s="1"/>
  <c r="G17" i="9" s="1"/>
  <c r="G19" i="9" s="1"/>
  <c r="G25" i="9" l="1"/>
  <c r="H18" i="8"/>
  <c r="H19" i="8" s="1"/>
  <c r="I10" i="6"/>
  <c r="I12" i="8" s="1"/>
  <c r="I12" i="6" l="1"/>
  <c r="I9" i="9" s="1"/>
  <c r="H3" i="10"/>
  <c r="H6" i="10" s="1"/>
  <c r="H15" i="10" s="1"/>
  <c r="H17" i="10" s="1"/>
  <c r="H22" i="9"/>
  <c r="F5" i="12"/>
  <c r="I4" i="10"/>
  <c r="I13" i="8"/>
  <c r="F3" i="12" l="1"/>
  <c r="F4" i="12" s="1"/>
  <c r="F8" i="12" s="1"/>
  <c r="I16" i="8"/>
  <c r="H23" i="9"/>
  <c r="H3" i="9"/>
  <c r="H7" i="9" s="1"/>
  <c r="H11" i="9" s="1"/>
  <c r="H17" i="9" s="1"/>
  <c r="H19" i="9" s="1"/>
  <c r="H25" i="9" s="1"/>
  <c r="I16" i="10"/>
  <c r="I18" i="8" l="1"/>
  <c r="I19" i="8" s="1"/>
  <c r="B16" i="12"/>
  <c r="B17" i="12" s="1"/>
  <c r="B13" i="12"/>
  <c r="I3" i="10" l="1"/>
  <c r="I6" i="10" s="1"/>
  <c r="I15" i="10" s="1"/>
  <c r="I17" i="10" s="1"/>
  <c r="I3" i="9" s="1"/>
  <c r="I7" i="9" s="1"/>
  <c r="I11" i="9" s="1"/>
  <c r="I22" i="9"/>
  <c r="I23" i="9" s="1"/>
  <c r="B19" i="12"/>
  <c r="B21" i="12" s="1"/>
  <c r="B23" i="12" s="1"/>
  <c r="I17" i="9" l="1"/>
  <c r="I19" i="9" s="1"/>
  <c r="I25" i="9" s="1"/>
  <c r="H4" i="14"/>
  <c r="H19" i="15" s="1"/>
  <c r="A3" i="13"/>
  <c r="B25" i="12"/>
  <c r="I4" i="14" l="1"/>
  <c r="I19" i="15" s="1"/>
  <c r="B8" i="15"/>
  <c r="B10" i="1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<sst xmlns="http://schemas.openxmlformats.org/spreadsheetml/2006/main" count="270" uniqueCount="156">
  <si>
    <t>Model Control Panel</t>
  </si>
  <si>
    <t>Company Name</t>
  </si>
  <si>
    <t>Sector</t>
  </si>
  <si>
    <t>Scenario</t>
  </si>
  <si>
    <t>Forecast Start Year</t>
  </si>
  <si>
    <t>Forecast End Year</t>
  </si>
  <si>
    <t>Valuation Method</t>
  </si>
  <si>
    <t>Stress Test Toggle</t>
  </si>
  <si>
    <t>Notes</t>
  </si>
  <si>
    <t>Scenario Index</t>
  </si>
  <si>
    <t>Assumptions</t>
  </si>
  <si>
    <t>Macroeconomic Inputs</t>
  </si>
  <si>
    <t>Risk-free rate</t>
  </si>
  <si>
    <t>Equity Risk Premium</t>
  </si>
  <si>
    <t>Tax Rate</t>
  </si>
  <si>
    <t>Terminal Growth rate</t>
  </si>
  <si>
    <t>Inflation</t>
  </si>
  <si>
    <t>Capital Market Inputs</t>
  </si>
  <si>
    <t>Unlevered Beta</t>
  </si>
  <si>
    <t>Target Debt/(Debt+Equity)</t>
  </si>
  <si>
    <t>Cost of Debt (pre-tax)</t>
  </si>
  <si>
    <t>Other Inputs</t>
  </si>
  <si>
    <t>Shares Outstanding</t>
  </si>
  <si>
    <t>Current Market Price</t>
  </si>
  <si>
    <t>FCFF</t>
  </si>
  <si>
    <t>Revenue Drivers</t>
  </si>
  <si>
    <t>FY2023</t>
  </si>
  <si>
    <t>FY2024</t>
  </si>
  <si>
    <t>FY2025</t>
  </si>
  <si>
    <t>FY2026</t>
  </si>
  <si>
    <t>FY2027</t>
  </si>
  <si>
    <t>FY2028</t>
  </si>
  <si>
    <t>FY2029</t>
  </si>
  <si>
    <t>FY2030</t>
  </si>
  <si>
    <t>Volume Growth</t>
  </si>
  <si>
    <t>Price Growth</t>
  </si>
  <si>
    <t>Revenue Growth</t>
  </si>
  <si>
    <t>Revenue</t>
  </si>
  <si>
    <t>Operating Costs &amp; Margins</t>
  </si>
  <si>
    <t>COGS as % of Revenue</t>
  </si>
  <si>
    <t>COGS</t>
  </si>
  <si>
    <t>Employee Cost % of revenue</t>
  </si>
  <si>
    <t>Employee Cost</t>
  </si>
  <si>
    <t>Other Opex % of revenue</t>
  </si>
  <si>
    <t>Other Opex</t>
  </si>
  <si>
    <t>EBITDA</t>
  </si>
  <si>
    <t>EBITDA Margin</t>
  </si>
  <si>
    <t>Depreciation</t>
  </si>
  <si>
    <t>EBIT</t>
  </si>
  <si>
    <t>Working Capital</t>
  </si>
  <si>
    <t>AR Days</t>
  </si>
  <si>
    <t>Accounts Receivable</t>
  </si>
  <si>
    <t>Inventory Days</t>
  </si>
  <si>
    <t>Inventory</t>
  </si>
  <si>
    <t>AP Days</t>
  </si>
  <si>
    <t>Accounts Payable</t>
  </si>
  <si>
    <t>Net Working Capital</t>
  </si>
  <si>
    <t>Change in WC</t>
  </si>
  <si>
    <t>Capex &amp; Depreciation</t>
  </si>
  <si>
    <t>Capex % of Revenue</t>
  </si>
  <si>
    <t>Capex</t>
  </si>
  <si>
    <t>Opening PP&amp;E</t>
  </si>
  <si>
    <t>Depreciation % of Opening PP&amp;E</t>
  </si>
  <si>
    <t>Closing PP&amp;E</t>
  </si>
  <si>
    <t>Debt &amp; Interest</t>
  </si>
  <si>
    <t>Opening Debt</t>
  </si>
  <si>
    <t>New Borrowings</t>
  </si>
  <si>
    <t>Repayments</t>
  </si>
  <si>
    <t>Closing Debt</t>
  </si>
  <si>
    <t>Average Debt</t>
  </si>
  <si>
    <t>Cost of Debt</t>
  </si>
  <si>
    <t>Interest Expense</t>
  </si>
  <si>
    <t>Income Statement</t>
  </si>
  <si>
    <t>Gross Profit</t>
  </si>
  <si>
    <t>Interest</t>
  </si>
  <si>
    <t>EBT</t>
  </si>
  <si>
    <t>Tax</t>
  </si>
  <si>
    <t>Net Income</t>
  </si>
  <si>
    <t>Balance Sheet</t>
  </si>
  <si>
    <t>Cash</t>
  </si>
  <si>
    <t>Other Current Assets</t>
  </si>
  <si>
    <t>Total Current Assets</t>
  </si>
  <si>
    <t>PP&amp;E</t>
  </si>
  <si>
    <t>Other Assets</t>
  </si>
  <si>
    <t>Total Assets</t>
  </si>
  <si>
    <t>Other Current Liabilities</t>
  </si>
  <si>
    <t>Total Current Liabilities</t>
  </si>
  <si>
    <t>Other Liabilities</t>
  </si>
  <si>
    <t>Total Liabilities</t>
  </si>
  <si>
    <t>Share Capital</t>
  </si>
  <si>
    <t>Retained Earnings</t>
  </si>
  <si>
    <t>Total Equity</t>
  </si>
  <si>
    <t>Total Liabilities &amp; Equity</t>
  </si>
  <si>
    <t>Cash Flow Statement</t>
  </si>
  <si>
    <t>Cash from Operations</t>
  </si>
  <si>
    <t>Cash from Investing</t>
  </si>
  <si>
    <t xml:space="preserve">Cash from Financing </t>
  </si>
  <si>
    <t>Net Change in Cash</t>
  </si>
  <si>
    <t>Opening Cash</t>
  </si>
  <si>
    <t>Closing Cash</t>
  </si>
  <si>
    <t>Debt (BL Fig-26 onw)</t>
  </si>
  <si>
    <t>WACC Calculation</t>
  </si>
  <si>
    <t>Levered Beta</t>
  </si>
  <si>
    <t>Cost of Equity</t>
  </si>
  <si>
    <t>Tax rate</t>
  </si>
  <si>
    <t>After-tax Cost of Debt</t>
  </si>
  <si>
    <t>Market Value of Equity</t>
  </si>
  <si>
    <t>Net Debt</t>
  </si>
  <si>
    <t>Total Capital</t>
  </si>
  <si>
    <t>Weight of Equity</t>
  </si>
  <si>
    <t>Weight of Debt</t>
  </si>
  <si>
    <t>WACC</t>
  </si>
  <si>
    <t>DCF Valuation</t>
  </si>
  <si>
    <t>NOPAT</t>
  </si>
  <si>
    <t>Discount Factor</t>
  </si>
  <si>
    <t>PV of FCFF</t>
  </si>
  <si>
    <t>Terminal Growth</t>
  </si>
  <si>
    <t>Terminal Value</t>
  </si>
  <si>
    <t>PV of Terminal Value</t>
  </si>
  <si>
    <t>Enterprise Value</t>
  </si>
  <si>
    <t>Equity Value</t>
  </si>
  <si>
    <t>Intrinsic Value</t>
  </si>
  <si>
    <t>CMP</t>
  </si>
  <si>
    <t>Upside/Downside</t>
  </si>
  <si>
    <t>WC % of Revenue</t>
  </si>
  <si>
    <t>WC</t>
  </si>
  <si>
    <t>Intrinsic Value Sensitivity</t>
  </si>
  <si>
    <t>WACC_1</t>
  </si>
  <si>
    <t>WACC input</t>
  </si>
  <si>
    <t>g input</t>
  </si>
  <si>
    <t>Optimistic</t>
  </si>
  <si>
    <t>Conservative</t>
  </si>
  <si>
    <t>Stress Test-Key Assumptions</t>
  </si>
  <si>
    <t>WC Days</t>
  </si>
  <si>
    <t>Terminal g</t>
  </si>
  <si>
    <t>Base Case</t>
  </si>
  <si>
    <t>Mild Downside</t>
  </si>
  <si>
    <t>Severe Downside</t>
  </si>
  <si>
    <t>Upside</t>
  </si>
  <si>
    <t>Driver</t>
  </si>
  <si>
    <t>Helper Value</t>
  </si>
  <si>
    <t>Rev Growth</t>
  </si>
  <si>
    <t>Capex %</t>
  </si>
  <si>
    <t>AUTO SECTOR - DCF VALUATION DASHBOARD</t>
  </si>
  <si>
    <t>Aurex Research | Akshat Gupta</t>
  </si>
  <si>
    <t>Scenario Selected</t>
  </si>
  <si>
    <t>Intrinsic Value/share</t>
  </si>
  <si>
    <t>Current Market Price/share</t>
  </si>
  <si>
    <t>Key Assumptions</t>
  </si>
  <si>
    <t>Stress Test Summary</t>
  </si>
  <si>
    <t>Interpretation &amp; Key Takeaways</t>
  </si>
  <si>
    <t>Base case valuation implies ~313% upside, driven by strong growth and margin expansion assumptions.</t>
  </si>
  <si>
    <t>Even under Severe downside (lower growth, sharp margin compression, higher capex, and WACC near 10%), intrinsic value remains Rs. 705, suggesting ~100% from CMP.</t>
  </si>
  <si>
    <t>Valuation is highly sensitive to operating margins and cost of capital, highlighting the importance of execution discipline and macro stability.</t>
  </si>
  <si>
    <t>Upside scenario shows convexity in long-term cash flows, with intrinsic value exceeding ₹2,100 if growth and margins outperform.</t>
  </si>
  <si>
    <t>Overall, the stock appears deeply undervalued under a wide range of assumptions, but the investment case is critically dependent on sustained margin performance and capital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</si>
</sst>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4009]\ * #,##0.00_ ;_ [$₹-4009]\ * \-#,##0.00_ ;_ [$₹-4009]\ * &quot;-&quot;??_ ;_ @_ "/>
    <numFmt numFmtId="165" formatCode="0.0%"/>
    <numFmt numFmtId="166" formatCode="_ [$₹-4009]\ * #,##0_ ;_ [$₹-4009]\ * \-#,##0_ ;_ [$₹-4009]\ * &quot;-&quot;_ ;_ @_ "/>
    <numFmt numFmtId="167" formatCode="_ * #,##0_ ;_ * \-#,##0_ ;_ * &quot;-&quot;??_ ;_ @_ "/>
    <numFmt numFmtId="168" formatCode="_ [$₹-4009]\ * #,##0_ ;_ [$₹-4009]\ * \-#,##0_ ;_ [$₹-4009]\ * &quot;-&quot;??_ ;_ @_ "/>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rgb="FF0070C0"/>
      <name val="Calibri"/>
      <family val="2"/>
      <scheme val="minor"/>
    </font>
    <font>
      <sz val="8"/>
      <name val="Calibri"/>
      <family val="2"/>
      <scheme val="minor"/>
    </font>
    <font>
      <sz val="11"/>
      <color rgb="FF00B050"/>
      <name val="Calibri"/>
      <family val="2"/>
      <scheme val="minor"/>
    </font>
    <font>
      <b/>
      <sz val="14"/>
      <color theme="1"/>
      <name val="Calibri"/>
      <family val="2"/>
      <scheme val="minor"/>
    </font>
    <font>
      <b/>
      <i/>
      <sz val="11"/>
      <color theme="1"/>
      <name val="Calibri"/>
      <family val="2"/>
      <scheme val="minor"/>
    </font>
    <font>
      <b/>
      <sz val="18"/>
      <color theme="1"/>
      <name val="Calibri"/>
      <family val="2"/>
      <scheme val="minor"/>
    </font>
    <font>
      <sz val="11"/>
      <color theme="1" tint="0.249977111117893"/>
      <name val="Calibri"/>
      <family val="2"/>
      <scheme val="minor"/>
    </font>
    <font>
      <b/>
      <sz val="18"/>
      <color rgb="FF006699"/>
      <name val="Calibri"/>
      <family val="2"/>
      <scheme val="minor"/>
    </font>
    <font>
      <b/>
      <sz val="14"/>
      <color rgb="FF006699"/>
      <name val="Calibri"/>
      <family val="2"/>
      <scheme val="minor"/>
    </font>
    <font>
      <b/>
      <sz val="11"/>
      <color rgb="FF006699"/>
      <name val="Calibri"/>
      <family val="2"/>
      <scheme val="minor"/>
    </font>
    <font>
      <b/>
      <sz val="11"/>
      <color theme="1" tint="0.249977111117893"/>
      <name val="Calibri"/>
      <family val="2"/>
      <scheme val="minor"/>
    </font>
    <font>
      <b/>
      <sz val="12"/>
      <color rgb="FF006699"/>
      <name val="Calibri"/>
      <family val="2"/>
      <scheme val="minor"/>
    </font>
  </fonts>
  <fills count="9">
    <fill>
      <patternFill patternType="none"/>
    </fill>
    <fill>
      <patternFill patternType="gray125"/>
    </fill>
    <fill>
      <patternFill patternType="solid">
        <fgColor theme="4" tint="0.59999389629810485"/>
        <bgColor indexed="65"/>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63BE7B"/>
        <bgColor indexed="64"/>
      </patternFill>
    </fill>
    <fill>
      <patternFill patternType="solid">
        <fgColor rgb="FFF8696B"/>
        <bgColor indexed="64"/>
      </patternFill>
    </fill>
    <fill>
      <patternFill patternType="solid">
        <fgColor rgb="FFF0F0F0"/>
        <bgColor indexed="64"/>
      </patternFill>
    </fill>
    <fill>
      <patternFill patternType="solid">
        <fgColor theme="2" tint="-9.9978637043366805E-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style="medium">
        <color theme="1"/>
      </right>
      <top style="medium">
        <color theme="1"/>
      </top>
      <bottom/>
      <diagonal/>
    </border>
    <border>
      <left style="thin">
        <color theme="1"/>
      </left>
      <right style="medium">
        <color theme="1"/>
      </right>
      <top/>
      <bottom/>
      <diagonal/>
    </border>
    <border>
      <left style="thin">
        <color theme="1"/>
      </left>
      <right style="medium">
        <color theme="1"/>
      </right>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thin">
        <color theme="1"/>
      </left>
      <right style="thin">
        <color theme="1"/>
      </right>
      <top style="thin">
        <color theme="1"/>
      </top>
      <bottom style="medium">
        <color theme="1"/>
      </bottom>
      <diagonal/>
    </border>
    <border>
      <left/>
      <right/>
      <top style="medium">
        <color theme="1"/>
      </top>
      <bottom style="thin">
        <color theme="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cellStyleXfs>
  <cellXfs count="146">
    <xf numFmtId="0" fontId="0" fillId="0" borderId="0" xfId="0"/>
    <xf numFmtId="0" fontId="2" fillId="0" borderId="0" xfId="0" applyFont="1"/>
    <xf numFmtId="0" fontId="0" fillId="3" borderId="1" xfId="0" applyFill="1" applyBorder="1"/>
    <xf numFmtId="0" fontId="3" fillId="0" borderId="1" xfId="0" applyFont="1" applyBorder="1"/>
    <xf numFmtId="10" fontId="0" fillId="0" borderId="0" xfId="2" applyNumberFormat="1" applyFont="1"/>
    <xf numFmtId="0" fontId="2" fillId="0" borderId="1" xfId="0" applyFont="1" applyBorder="1"/>
    <xf numFmtId="0" fontId="0" fillId="0" borderId="1" xfId="0" applyBorder="1"/>
    <xf numFmtId="165" fontId="3" fillId="0" borderId="1" xfId="2" applyNumberFormat="1" applyFont="1" applyFill="1" applyBorder="1"/>
    <xf numFmtId="0" fontId="0" fillId="3" borderId="2" xfId="0" applyFill="1" applyBorder="1"/>
    <xf numFmtId="165" fontId="3" fillId="0" borderId="2" xfId="2" applyNumberFormat="1" applyFont="1" applyFill="1" applyBorder="1"/>
    <xf numFmtId="0" fontId="2" fillId="3" borderId="3" xfId="0" applyFont="1" applyFill="1" applyBorder="1"/>
    <xf numFmtId="165" fontId="3" fillId="3" borderId="4" xfId="2" applyNumberFormat="1" applyFont="1" applyFill="1" applyBorder="1"/>
    <xf numFmtId="43" fontId="3" fillId="0" borderId="2" xfId="1" applyFont="1" applyFill="1" applyBorder="1"/>
    <xf numFmtId="0" fontId="0" fillId="3" borderId="4" xfId="0" applyFill="1" applyBorder="1"/>
    <xf numFmtId="0" fontId="2" fillId="0" borderId="0" xfId="0" applyFont="1" applyAlignment="1">
      <alignment vertical="center"/>
    </xf>
    <xf numFmtId="0" fontId="0" fillId="0" borderId="0" xfId="0" applyAlignment="1">
      <alignment vertical="center"/>
    </xf>
    <xf numFmtId="0" fontId="0" fillId="3" borderId="1" xfId="0" applyFill="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0" fontId="0" fillId="0" borderId="0" xfId="0" applyAlignment="1">
      <alignment horizontal="left" vertical="center"/>
    </xf>
    <xf numFmtId="164" fontId="3" fillId="0" borderId="1" xfId="0" applyNumberFormat="1" applyFont="1" applyBorder="1"/>
    <xf numFmtId="0" fontId="2" fillId="0" borderId="0" xfId="0" applyFont="1" applyAlignment="1">
      <alignment horizontal="center" vertical="center"/>
    </xf>
    <xf numFmtId="43" fontId="0" fillId="0" borderId="0" xfId="1" applyFont="1"/>
    <xf numFmtId="43" fontId="3" fillId="0" borderId="0" xfId="1" applyFont="1"/>
    <xf numFmtId="10" fontId="0" fillId="0" borderId="0" xfId="0" applyNumberFormat="1"/>
    <xf numFmtId="10" fontId="3" fillId="0" borderId="1" xfId="2" applyNumberFormat="1" applyFont="1" applyBorder="1"/>
    <xf numFmtId="10" fontId="3" fillId="0" borderId="1" xfId="0" applyNumberFormat="1" applyFont="1" applyBorder="1"/>
    <xf numFmtId="43" fontId="3" fillId="0" borderId="1" xfId="1" applyFont="1" applyBorder="1"/>
    <xf numFmtId="9" fontId="0" fillId="0" borderId="1" xfId="2" applyFont="1" applyBorder="1"/>
    <xf numFmtId="165" fontId="0" fillId="0" borderId="1" xfId="2" applyNumberFormat="1" applyFont="1" applyBorder="1"/>
    <xf numFmtId="10" fontId="0" fillId="0" borderId="1" xfId="2" applyNumberFormat="1" applyFont="1" applyBorder="1"/>
    <xf numFmtId="0" fontId="0" fillId="0" borderId="5" xfId="0" applyBorder="1"/>
    <xf numFmtId="10" fontId="3" fillId="0" borderId="5" xfId="2" applyNumberFormat="1" applyFont="1" applyBorder="1"/>
    <xf numFmtId="10" fontId="0" fillId="0" borderId="5" xfId="2" applyNumberFormat="1" applyFont="1" applyBorder="1"/>
    <xf numFmtId="0" fontId="0" fillId="0" borderId="2" xfId="0" applyBorder="1"/>
    <xf numFmtId="43" fontId="3" fillId="0" borderId="2" xfId="1" applyFont="1" applyBorder="1"/>
    <xf numFmtId="43" fontId="0" fillId="0" borderId="2" xfId="0" applyNumberFormat="1" applyBorder="1"/>
    <xf numFmtId="0" fontId="0" fillId="0" borderId="3" xfId="0" applyBorder="1"/>
    <xf numFmtId="0" fontId="0" fillId="0" borderId="6" xfId="0" applyBorder="1"/>
    <xf numFmtId="0" fontId="0" fillId="0" borderId="4" xfId="0" applyBorder="1"/>
    <xf numFmtId="43" fontId="0" fillId="0" borderId="0" xfId="0" applyNumberFormat="1"/>
    <xf numFmtId="43" fontId="5" fillId="0" borderId="1" xfId="0" applyNumberFormat="1" applyFont="1" applyBorder="1"/>
    <xf numFmtId="165" fontId="3" fillId="0" borderId="1" xfId="2" applyNumberFormat="1" applyFont="1" applyBorder="1"/>
    <xf numFmtId="43" fontId="0" fillId="0" borderId="1" xfId="0" applyNumberFormat="1" applyBorder="1"/>
    <xf numFmtId="43" fontId="0" fillId="0" borderId="1" xfId="1" applyFont="1" applyBorder="1"/>
    <xf numFmtId="43" fontId="3" fillId="0" borderId="1" xfId="0" applyNumberFormat="1" applyFont="1" applyBorder="1"/>
    <xf numFmtId="43" fontId="1" fillId="0" borderId="1" xfId="1" applyFont="1" applyBorder="1"/>
    <xf numFmtId="43" fontId="5" fillId="0" borderId="1" xfId="1" applyFont="1" applyBorder="1"/>
    <xf numFmtId="43" fontId="2" fillId="0" borderId="1" xfId="1" applyFont="1" applyBorder="1"/>
    <xf numFmtId="166" fontId="0" fillId="0" borderId="0" xfId="0" applyNumberFormat="1" applyAlignment="1">
      <alignment vertical="center"/>
    </xf>
    <xf numFmtId="4" fontId="3" fillId="0" borderId="1" xfId="0" applyNumberFormat="1" applyFont="1" applyBorder="1"/>
    <xf numFmtId="164" fontId="1" fillId="0" borderId="1" xfId="1" applyNumberFormat="1" applyFont="1" applyBorder="1"/>
    <xf numFmtId="164" fontId="0" fillId="0" borderId="1" xfId="0" applyNumberFormat="1" applyBorder="1"/>
    <xf numFmtId="10" fontId="0" fillId="0" borderId="1" xfId="0" applyNumberFormat="1" applyBorder="1"/>
    <xf numFmtId="10" fontId="5" fillId="0" borderId="1" xfId="0" applyNumberFormat="1" applyFont="1" applyBorder="1"/>
    <xf numFmtId="165" fontId="5" fillId="0" borderId="1" xfId="2" applyNumberFormat="1" applyFont="1" applyBorder="1"/>
    <xf numFmtId="0" fontId="0" fillId="0" borderId="7" xfId="0" applyBorder="1"/>
    <xf numFmtId="43" fontId="6" fillId="4" borderId="8" xfId="0" applyNumberFormat="1" applyFont="1" applyFill="1" applyBorder="1"/>
    <xf numFmtId="167" fontId="0" fillId="0" borderId="1" xfId="1" applyNumberFormat="1" applyFont="1" applyBorder="1"/>
    <xf numFmtId="167" fontId="0" fillId="0" borderId="10" xfId="1" applyNumberFormat="1" applyFont="1" applyBorder="1"/>
    <xf numFmtId="167" fontId="0" fillId="0" borderId="13" xfId="1" applyNumberFormat="1" applyFont="1" applyBorder="1"/>
    <xf numFmtId="167" fontId="0" fillId="0" borderId="14" xfId="1" applyNumberFormat="1" applyFont="1" applyBorder="1"/>
    <xf numFmtId="167" fontId="0" fillId="0" borderId="2" xfId="1" applyNumberFormat="1" applyFont="1" applyBorder="1"/>
    <xf numFmtId="167" fontId="0" fillId="0" borderId="15" xfId="1" applyNumberFormat="1" applyFont="1" applyBorder="1"/>
    <xf numFmtId="165" fontId="7" fillId="3" borderId="16" xfId="2" applyNumberFormat="1" applyFont="1" applyFill="1" applyBorder="1"/>
    <xf numFmtId="165" fontId="7" fillId="3" borderId="17" xfId="2" applyNumberFormat="1" applyFont="1" applyFill="1" applyBorder="1"/>
    <xf numFmtId="165" fontId="7" fillId="3" borderId="18" xfId="2" applyNumberFormat="1" applyFont="1" applyFill="1" applyBorder="1"/>
    <xf numFmtId="167" fontId="0" fillId="0" borderId="19" xfId="1" applyNumberFormat="1" applyFont="1" applyBorder="1"/>
    <xf numFmtId="167" fontId="0" fillId="0" borderId="4" xfId="1" applyNumberFormat="1" applyFont="1" applyBorder="1"/>
    <xf numFmtId="167" fontId="0" fillId="0" borderId="20" xfId="1" applyNumberFormat="1" applyFont="1" applyBorder="1"/>
    <xf numFmtId="165" fontId="7" fillId="3" borderId="21" xfId="2" applyNumberFormat="1" applyFont="1" applyFill="1" applyBorder="1" applyAlignment="1">
      <alignment vertical="center"/>
    </xf>
    <xf numFmtId="165" fontId="7" fillId="3" borderId="22" xfId="2" applyNumberFormat="1" applyFont="1" applyFill="1" applyBorder="1" applyAlignment="1">
      <alignment vertical="center"/>
    </xf>
    <xf numFmtId="165" fontId="7" fillId="3" borderId="23" xfId="2" applyNumberFormat="1" applyFont="1" applyFill="1" applyBorder="1" applyAlignment="1">
      <alignment vertical="center"/>
    </xf>
    <xf numFmtId="0" fontId="0" fillId="5" borderId="1" xfId="0" applyFill="1" applyBorder="1"/>
    <xf numFmtId="0" fontId="0" fillId="6" borderId="1" xfId="0" applyFill="1" applyBorder="1"/>
    <xf numFmtId="0" fontId="0" fillId="0" borderId="1" xfId="0" applyBorder="1" applyAlignment="1">
      <alignment vertical="center"/>
    </xf>
    <xf numFmtId="0" fontId="2" fillId="0" borderId="1" xfId="0" applyFont="1" applyBorder="1" applyAlignment="1">
      <alignment horizontal="left" vertical="center"/>
    </xf>
    <xf numFmtId="0" fontId="2" fillId="3" borderId="24" xfId="0" applyFont="1" applyFill="1" applyBorder="1" applyAlignment="1">
      <alignment vertical="center"/>
    </xf>
    <xf numFmtId="0" fontId="2" fillId="3" borderId="17" xfId="0" applyFont="1" applyFill="1" applyBorder="1" applyAlignment="1">
      <alignment horizontal="right" vertical="center"/>
    </xf>
    <xf numFmtId="0" fontId="2" fillId="3" borderId="18" xfId="0" applyFont="1" applyFill="1" applyBorder="1" applyAlignment="1">
      <alignment horizontal="right" vertical="center"/>
    </xf>
    <xf numFmtId="10" fontId="0" fillId="0" borderId="2" xfId="2" applyNumberFormat="1" applyFont="1" applyBorder="1" applyAlignment="1">
      <alignment horizontal="right" vertical="center"/>
    </xf>
    <xf numFmtId="43" fontId="0" fillId="0" borderId="2" xfId="1" applyFont="1" applyBorder="1" applyAlignment="1">
      <alignment horizontal="right" vertical="center"/>
    </xf>
    <xf numFmtId="9" fontId="0" fillId="0" borderId="15" xfId="2" applyFont="1" applyBorder="1" applyAlignment="1">
      <alignment horizontal="right" vertical="center"/>
    </xf>
    <xf numFmtId="10" fontId="0" fillId="0" borderId="1" xfId="2" applyNumberFormat="1" applyFont="1" applyBorder="1" applyAlignment="1">
      <alignment horizontal="right" vertical="center"/>
    </xf>
    <xf numFmtId="43" fontId="0" fillId="0" borderId="1" xfId="1" applyFont="1" applyBorder="1" applyAlignment="1">
      <alignment horizontal="right" vertical="center"/>
    </xf>
    <xf numFmtId="9" fontId="0" fillId="0" borderId="10" xfId="2" applyFont="1" applyBorder="1" applyAlignment="1">
      <alignment horizontal="right" vertical="center"/>
    </xf>
    <xf numFmtId="10" fontId="0" fillId="0" borderId="13" xfId="2" applyNumberFormat="1" applyFont="1" applyBorder="1" applyAlignment="1">
      <alignment horizontal="right" vertical="center"/>
    </xf>
    <xf numFmtId="43" fontId="0" fillId="0" borderId="13" xfId="1" applyFont="1" applyBorder="1" applyAlignment="1">
      <alignment horizontal="right" vertical="center"/>
    </xf>
    <xf numFmtId="9" fontId="0" fillId="0" borderId="14" xfId="2" applyFont="1" applyBorder="1" applyAlignment="1">
      <alignment horizontal="right" vertical="center"/>
    </xf>
    <xf numFmtId="0" fontId="8" fillId="0" borderId="0" xfId="0" applyFont="1" applyAlignment="1">
      <alignment vertical="center"/>
    </xf>
    <xf numFmtId="0" fontId="9" fillId="3" borderId="26" xfId="0" applyFont="1" applyFill="1" applyBorder="1" applyAlignment="1">
      <alignment vertical="center"/>
    </xf>
    <xf numFmtId="0" fontId="9" fillId="3" borderId="28" xfId="0" applyFont="1" applyFill="1" applyBorder="1" applyAlignment="1">
      <alignment vertical="center"/>
    </xf>
    <xf numFmtId="0" fontId="9" fillId="3" borderId="29" xfId="0" applyFont="1" applyFill="1" applyBorder="1" applyAlignment="1">
      <alignment vertical="center"/>
    </xf>
    <xf numFmtId="0" fontId="2" fillId="0" borderId="30" xfId="0" applyFont="1" applyBorder="1" applyAlignment="1">
      <alignment vertical="center"/>
    </xf>
    <xf numFmtId="0" fontId="12" fillId="3" borderId="32" xfId="0" applyFont="1" applyFill="1" applyBorder="1" applyAlignment="1">
      <alignment vertical="center"/>
    </xf>
    <xf numFmtId="0" fontId="2" fillId="3" borderId="33" xfId="0" applyFont="1" applyFill="1" applyBorder="1" applyAlignment="1">
      <alignment vertical="center"/>
    </xf>
    <xf numFmtId="0" fontId="13" fillId="0" borderId="34" xfId="0" applyFont="1" applyBorder="1" applyAlignment="1">
      <alignment vertical="center"/>
    </xf>
    <xf numFmtId="10" fontId="12" fillId="0" borderId="35" xfId="2" applyNumberFormat="1" applyFont="1" applyBorder="1" applyAlignment="1">
      <alignment vertical="center"/>
    </xf>
    <xf numFmtId="43" fontId="12" fillId="0" borderId="35" xfId="1" applyFont="1" applyBorder="1" applyAlignment="1">
      <alignment vertical="center"/>
    </xf>
    <xf numFmtId="0" fontId="13" fillId="0" borderId="36" xfId="0" applyFont="1" applyBorder="1" applyAlignment="1">
      <alignment vertical="center"/>
    </xf>
    <xf numFmtId="10" fontId="12" fillId="0" borderId="37" xfId="2" applyNumberFormat="1" applyFont="1" applyBorder="1" applyAlignment="1">
      <alignment vertical="center"/>
    </xf>
    <xf numFmtId="0" fontId="2" fillId="0" borderId="9"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168" fontId="11" fillId="3" borderId="38" xfId="0" applyNumberFormat="1" applyFont="1" applyFill="1" applyBorder="1" applyAlignment="1">
      <alignment vertical="center"/>
    </xf>
    <xf numFmtId="164" fontId="2" fillId="3" borderId="39" xfId="0" applyNumberFormat="1" applyFont="1" applyFill="1" applyBorder="1" applyAlignment="1">
      <alignment vertical="center"/>
    </xf>
    <xf numFmtId="9" fontId="0" fillId="3" borderId="40" xfId="0" applyNumberFormat="1" applyFill="1" applyBorder="1" applyAlignment="1">
      <alignment vertical="center"/>
    </xf>
    <xf numFmtId="0" fontId="14" fillId="0" borderId="0" xfId="0" applyFont="1" applyAlignment="1">
      <alignment vertical="center"/>
    </xf>
    <xf numFmtId="0" fontId="0" fillId="0" borderId="34" xfId="0" applyBorder="1"/>
    <xf numFmtId="0" fontId="0" fillId="0" borderId="36" xfId="0" applyBorder="1"/>
    <xf numFmtId="43" fontId="2" fillId="0" borderId="0" xfId="0" applyNumberFormat="1" applyFont="1"/>
    <xf numFmtId="10" fontId="0" fillId="0" borderId="34" xfId="0" applyNumberFormat="1" applyBorder="1"/>
    <xf numFmtId="0" fontId="0" fillId="0" borderId="0" xfId="0" applyAlignment="1">
      <alignment horizontal="right"/>
    </xf>
    <xf numFmtId="10" fontId="0" fillId="0" borderId="35" xfId="0" applyNumberFormat="1" applyBorder="1" applyAlignment="1">
      <alignment horizontal="right"/>
    </xf>
    <xf numFmtId="43" fontId="0" fillId="0" borderId="35" xfId="0" applyNumberFormat="1" applyBorder="1" applyAlignment="1">
      <alignment horizontal="right"/>
    </xf>
    <xf numFmtId="10" fontId="0" fillId="0" borderId="37" xfId="0" applyNumberFormat="1" applyBorder="1" applyAlignment="1">
      <alignment horizontal="right"/>
    </xf>
    <xf numFmtId="0" fontId="0" fillId="0" borderId="0" xfId="0" applyAlignment="1">
      <alignment horizontal="right" vertical="center"/>
    </xf>
    <xf numFmtId="10" fontId="0" fillId="0" borderId="25" xfId="0" applyNumberFormat="1" applyBorder="1" applyAlignment="1">
      <alignment horizontal="right" vertical="center"/>
    </xf>
    <xf numFmtId="43" fontId="0" fillId="0" borderId="25" xfId="0" applyNumberFormat="1" applyBorder="1" applyAlignment="1">
      <alignment horizontal="right" vertical="center"/>
    </xf>
    <xf numFmtId="43" fontId="0" fillId="0" borderId="25" xfId="1" applyFont="1" applyBorder="1" applyAlignment="1">
      <alignment horizontal="right" vertical="center"/>
    </xf>
    <xf numFmtId="9" fontId="0" fillId="0" borderId="35" xfId="2" applyFont="1" applyBorder="1" applyAlignment="1">
      <alignment horizontal="right" vertical="center"/>
    </xf>
    <xf numFmtId="10" fontId="0" fillId="0" borderId="44" xfId="0" applyNumberFormat="1" applyBorder="1" applyAlignment="1">
      <alignment horizontal="right" vertical="center"/>
    </xf>
    <xf numFmtId="43" fontId="0" fillId="0" borderId="44" xfId="0" applyNumberFormat="1" applyBorder="1" applyAlignment="1">
      <alignment horizontal="right" vertical="center"/>
    </xf>
    <xf numFmtId="43" fontId="0" fillId="0" borderId="44" xfId="1" applyFont="1" applyBorder="1" applyAlignment="1">
      <alignment horizontal="right" vertical="center"/>
    </xf>
    <xf numFmtId="9" fontId="0" fillId="0" borderId="37" xfId="2" applyFont="1" applyBorder="1" applyAlignment="1">
      <alignment horizontal="right" vertical="center"/>
    </xf>
    <xf numFmtId="0" fontId="1" fillId="2" borderId="31" xfId="3" applyBorder="1" applyAlignment="1">
      <alignment horizontal="center" vertical="center"/>
    </xf>
    <xf numFmtId="0" fontId="0" fillId="3" borderId="34" xfId="0" applyFill="1" applyBorder="1"/>
    <xf numFmtId="10" fontId="0" fillId="3" borderId="25" xfId="0" applyNumberFormat="1" applyFill="1" applyBorder="1" applyAlignment="1">
      <alignment horizontal="right" vertical="center"/>
    </xf>
    <xf numFmtId="10" fontId="0" fillId="3" borderId="25" xfId="2" applyNumberFormat="1" applyFont="1" applyFill="1" applyBorder="1" applyAlignment="1">
      <alignment horizontal="right" vertical="center"/>
    </xf>
    <xf numFmtId="43" fontId="0" fillId="3" borderId="25" xfId="0" applyNumberFormat="1" applyFill="1" applyBorder="1" applyAlignment="1">
      <alignment horizontal="right" vertical="center"/>
    </xf>
    <xf numFmtId="0" fontId="2" fillId="8" borderId="32" xfId="0" applyFont="1" applyFill="1" applyBorder="1"/>
    <xf numFmtId="0" fontId="2" fillId="8" borderId="45" xfId="0" applyFont="1" applyFill="1" applyBorder="1" applyAlignment="1">
      <alignment horizontal="right" vertical="center"/>
    </xf>
    <xf numFmtId="0" fontId="2" fillId="8" borderId="33" xfId="0" applyFont="1" applyFill="1" applyBorder="1" applyAlignment="1">
      <alignment horizontal="right" vertical="center"/>
    </xf>
    <xf numFmtId="0" fontId="2" fillId="8" borderId="26" xfId="0" applyFont="1" applyFill="1" applyBorder="1"/>
    <xf numFmtId="0" fontId="2" fillId="8" borderId="27" xfId="0" applyFont="1" applyFill="1" applyBorder="1" applyAlignment="1">
      <alignment horizontal="right"/>
    </xf>
    <xf numFmtId="0" fontId="9" fillId="7" borderId="34" xfId="0" applyFont="1" applyFill="1" applyBorder="1" applyAlignment="1">
      <alignment horizontal="left" vertical="top" wrapText="1"/>
    </xf>
    <xf numFmtId="0" fontId="9" fillId="7" borderId="25" xfId="0" applyFont="1" applyFill="1" applyBorder="1" applyAlignment="1">
      <alignment horizontal="left" vertical="top" wrapText="1"/>
    </xf>
    <xf numFmtId="0" fontId="9" fillId="7" borderId="35" xfId="0" applyFont="1" applyFill="1" applyBorder="1" applyAlignment="1">
      <alignment horizontal="left" vertical="top" wrapText="1"/>
    </xf>
    <xf numFmtId="0" fontId="9" fillId="7" borderId="36" xfId="0" applyFont="1" applyFill="1" applyBorder="1" applyAlignment="1">
      <alignment horizontal="left" vertical="top" wrapText="1"/>
    </xf>
    <xf numFmtId="0" fontId="9" fillId="7" borderId="44" xfId="0" applyFont="1" applyFill="1" applyBorder="1" applyAlignment="1">
      <alignment horizontal="left" vertical="top" wrapText="1"/>
    </xf>
    <xf numFmtId="0" fontId="9" fillId="7" borderId="37" xfId="0" applyFont="1" applyFill="1" applyBorder="1" applyAlignment="1">
      <alignment horizontal="left" vertical="top" wrapText="1"/>
    </xf>
    <xf numFmtId="0" fontId="9" fillId="0" borderId="0" xfId="0" applyFont="1" applyAlignment="1">
      <alignment horizontal="left" vertical="center"/>
    </xf>
    <xf numFmtId="0" fontId="10" fillId="0" borderId="0" xfId="0" applyFont="1" applyAlignment="1">
      <alignment horizontal="left" vertical="center"/>
    </xf>
    <xf numFmtId="0" fontId="9" fillId="7" borderId="41" xfId="0" applyFont="1" applyFill="1" applyBorder="1" applyAlignment="1">
      <alignment horizontal="left" vertical="top" wrapText="1"/>
    </xf>
    <xf numFmtId="0" fontId="9" fillId="7" borderId="42" xfId="0" applyFont="1" applyFill="1" applyBorder="1" applyAlignment="1">
      <alignment horizontal="left" vertical="top" wrapText="1"/>
    </xf>
    <xf numFmtId="0" fontId="9" fillId="7" borderId="43" xfId="0" applyFont="1" applyFill="1" applyBorder="1" applyAlignment="1">
      <alignment horizontal="left" vertical="top" wrapText="1"/>
    </xf>
  </cellXfs>
  <cellStyles count="4">
    <cellStyle name="40% - Accent1" xfId="3" builtinId="31"/>
    <cellStyle name="Comma" xfId="1" builtinId="3"/>
    <cellStyle name="Normal" xfId="0" builtinId="0"/>
    <cellStyle name="Percent" xfId="2" builtinId="5"/>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0F0F0"/>
      <color rgb="FF006699"/>
      <color rgb="FFF8696B"/>
      <color rgb="FF63BE7B"/>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https://www.bing.com/financeapi/forcetrigger?t=ahk9xm&amp;q=XNSE%3aTATAMOTORS&amp;form=skydnc</v>
    <v>Learn more on Bing</v>
  </rv>
  <rv s="1">
    <v>en-IN</v>
    <v>ahk9xm</v>
    <v>268435456</v>
    <v>1</v>
    <v>Powered by Refinitiv</v>
    <v>0</v>
    <v>TATA MOTORS PASSENGER VEHICLES LIMITED (XNSE:TMPV)</v>
    <v>2</v>
    <v>3</v>
    <v>Finance</v>
    <v>4</v>
    <v>490.35</v>
    <v>324.33</v>
    <v>1.0739000000000001</v>
    <v>4.0999999999999996</v>
    <v>1.1415999999999999E-2</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86259</v>
    <v>National Stock Exchange of India</v>
    <v>XNSE</v>
    <v>XNSE</v>
    <v>A Block, Shivasagar Estate, Dr. Annie Besant Road, Worli, MUMBAI, MAHARASHTRA, 400018 IN</v>
    <v>366.75</v>
    <v>Automobiles &amp; Auto Parts</v>
    <v>Stock</v>
    <v>46014.492905092593</v>
    <v>0</v>
    <v>357.65</v>
    <v>1322509000000</v>
    <v>TATA MOTORS PASSENGER VEHICLES LIMITED</v>
    <v>TATA MOTORS PASSENGER VEHICLES LIMITED</v>
    <v>361</v>
    <v>16.4346</v>
    <v>359.15</v>
    <v>363.25</v>
    <v>3682331000</v>
    <v>TMPV</v>
    <v>TATA MOTORS PASSENGER VEHICLES LIMITED (XNSE:TMPV)</v>
    <v>11885576</v>
    <v>15210940</v>
    <v>1945</v>
  </rv>
  <rv s="2">
    <v>1</v>
  </rv>
  <rv s="0">
    <v>https://www.bing.com/financeapi/forcetrigger?t=bo61p2&amp;q=IN10Y&amp;form=skydnc</v>
    <v>Learn more on Bing</v>
  </rv>
  <rv s="3">
    <v>en-IN</v>
    <v>bo61p2</v>
    <v>268435456</v>
    <v>1</v>
    <v>Powered by Refinitiv</v>
    <v>5</v>
    <v>India 10Y</v>
    <v>6</v>
    <v>7</v>
    <v>Finance</v>
    <v>8</v>
    <v>0</v>
    <v>0</v>
    <v>IN</v>
    <v>INR</v>
    <v>Bond</v>
    <v>46014.479317129626</v>
    <v>3</v>
    <v>49588</v>
    <v>India 10Y</v>
    <v>6.633</v>
    <v>6.633</v>
    <v>IN10Y</v>
    <v>India 10Y</v>
    <v>6.5670000000000006E-2</v>
    <v>6.5939999999999999E-2</v>
    <v>6.7779999999999993E-2</v>
    <v>6.6040000000000001E-2</v>
  </rv>
  <rv s="2">
    <v>4</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1</v>
      <v>1</v>
    </spb>
    <spb s="6">
      <v>3</v>
      <v>1</v>
      <v>1</v>
      <v>10</v>
      <v>5</v>
      <v>1</v>
      <v>7</v>
      <v>5</v>
      <v>5</v>
      <v>5</v>
      <v>5</v>
      <v>9</v>
    </spb>
    <spb s="7">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19" formatCode="yyyy/mm/dd"/>
    </x:dxf>
    <x:dxf>
      <x:numFmt numFmtId="14" formatCode="0.00%"/>
    </x:dxf>
    <x:dxf>
      <x:numFmt numFmtId="27" formatCode="yyyy/mm/dd\ hh:mm"/>
    </x:dxf>
    <x:dxf>
      <x:numFmt numFmtId="2" formatCode="0.00"/>
    </x:dxf>
    <x:dxf>
      <x:numFmt numFmtId="3" formatCode="#,##0"/>
    </x:dxf>
    <x:dxf>
      <x:numFmt numFmtId="4" formatCode="#,##0.00"/>
    </x:dxf>
    <x:dxf>
      <x:numFmt numFmtId="1" formatCode="0"/>
    </x:dxf>
  </dxfs>
  <richProperties>
    <rPr n="NumberFormat" t="s"/>
    <rPr n="IsTitleField" t="b"/>
  </richProperties>
  <richStyles>
    <rSty dxfid="0">
      <rpv i="0" xml:space="preserve">_ [$₹-en-IN] * #,##0.00_ ;_ [$₹-en-IN] * -#,##0.00_ ;_ [$₹-en-IN] * "-"??_ ;_ @_ </rpv>
    </rSty>
    <rSty dxfid="6">
      <rpv i="0">#,##0.00</rpv>
    </rSty>
    <rSty>
      <rpv i="1">1</rpv>
    </rSty>
    <rSty dxfid="5">
      <rpv i="0">#,##0</rpv>
    </rSty>
    <rSty dxfid="2"/>
    <rSty dxfid="0">
      <rpv i="0" xml:space="preserve">_ [$₹-en-IN] * #,##0_ ;_ [$₹-en-IN] * -#,##0_ ;_ [$₹-en-IN] * "-"_ ;_ @_ </rpv>
    </rSty>
    <rSty dxfid="3"/>
    <rSty dxfid="7">
      <rpv i="0">0</rpv>
    </rSty>
    <rSty dxfid="4">
      <rpv i="0">0.00</rpv>
    </rSty>
    <rSty dxfid="1"/>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pane ySplit="1" topLeftCell="A2" activePane="bottomLeft" state="frozen"/>
      <selection pane="bottomLeft" activeCell="E9" sqref="E9"/>
    </sheetView>
  </sheetViews>
  <sheetFormatPr defaultRowHeight="14.4" x14ac:dyDescent="0.3"/>
  <cols>
    <col min="1" max="1" width="18.44140625" style="15" bestFit="1" customWidth="1"/>
    <col min="2" max="2" width="52.88671875" style="15" bestFit="1" customWidth="1"/>
    <col min="3" max="16384" width="8.88671875" style="15"/>
  </cols>
  <sheetData>
    <row r="1" spans="1:2" x14ac:dyDescent="0.3">
      <c r="A1" s="14" t="s">
        <v>0</v>
      </c>
    </row>
    <row r="3" spans="1:2" x14ac:dyDescent="0.3">
      <c r="A3" s="16" t="s">
        <v>1</v>
      </c>
      <c r="B3" s="17" t="e" vm="1">
        <v>#VALUE!</v>
      </c>
    </row>
    <row r="4" spans="1:2" x14ac:dyDescent="0.3">
      <c r="A4" s="16" t="s">
        <v>2</v>
      </c>
      <c r="B4" s="17" t="str" cm="1">
        <f t="array" aca="1" ref="B4" ca="1">_FV(B3,"Industry")</f>
        <v>Automobiles &amp; Auto Parts</v>
      </c>
    </row>
    <row r="5" spans="1:2" x14ac:dyDescent="0.3">
      <c r="A5" s="16" t="s">
        <v>3</v>
      </c>
      <c r="B5" s="17" t="s">
        <v>137</v>
      </c>
    </row>
    <row r="6" spans="1:2" x14ac:dyDescent="0.3">
      <c r="A6" s="16" t="s">
        <v>4</v>
      </c>
      <c r="B6" s="18">
        <v>2026</v>
      </c>
    </row>
    <row r="7" spans="1:2" x14ac:dyDescent="0.3">
      <c r="A7" s="16" t="s">
        <v>5</v>
      </c>
      <c r="B7" s="18">
        <v>2030</v>
      </c>
    </row>
    <row r="8" spans="1:2" x14ac:dyDescent="0.3">
      <c r="A8" s="16" t="s">
        <v>6</v>
      </c>
      <c r="B8" s="18" t="s">
        <v>24</v>
      </c>
    </row>
    <row r="9" spans="1:2" x14ac:dyDescent="0.3">
      <c r="A9" s="16" t="s">
        <v>7</v>
      </c>
      <c r="B9" s="18">
        <v>0</v>
      </c>
    </row>
    <row r="10" spans="1:2" x14ac:dyDescent="0.3">
      <c r="A10" s="16" t="s">
        <v>8</v>
      </c>
      <c r="B10" s="18"/>
    </row>
    <row r="11" spans="1:2" x14ac:dyDescent="0.3">
      <c r="B11" s="19"/>
    </row>
    <row r="12" spans="1:2" x14ac:dyDescent="0.3">
      <c r="A12" s="75" t="s">
        <v>9</v>
      </c>
      <c r="B12" s="76">
        <f>MATCH(B5,{"Base Case","Mild Downside","Severe Downside","Upside"},0)</f>
        <v>3</v>
      </c>
    </row>
    <row r="16" spans="1:2" x14ac:dyDescent="0.3">
      <c r="B16" s="49"/>
    </row>
  </sheetData>
  <dataValidations count="1">
    <dataValidation type="list" allowBlank="1" showInputMessage="1" showErrorMessage="1" sqref="B5" xr:uid="{B6984140-41C2-4DA8-87AB-32CBCBAC4486}">
      <formula1>"Base Case,Mild Downside,Severe Downside,Upside"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543F-6EB3-453F-B978-D3BE60EE7AD4}">
  <dimension ref="A1:B17"/>
  <sheetViews>
    <sheetView tabSelected="1" workbookViewId="0">
      <selection activeCell="A4" sqref="A4"/>
    </sheetView>
  </sheetViews>
  <sheetFormatPr defaultRowHeight="14.4" x14ac:dyDescent="0.3"/>
  <cols>
    <col min="1" max="1" width="22.6640625" bestFit="1" customWidth="1"/>
  </cols>
  <sheetData>
    <row r="1" spans="1:2" x14ac:dyDescent="0.3">
      <c r="A1" s="1" t="s">
        <v>10</v>
      </c>
    </row>
    <row r="3" spans="1:2" x14ac:dyDescent="0.3">
      <c r="A3" s="10" t="s">
        <v>11</v>
      </c>
      <c r="B3" s="11"/>
    </row>
    <row r="4" spans="1:2" x14ac:dyDescent="0.3">
      <c r="A4" s="8" t="e" vm="2">
        <v>#VALUE!</v>
      </c>
      <c r="B4" s="9" cm="1">
        <f t="array" aca="1" ref="B4" ca="1">_FV(A4,"Price")/100</f>
        <v>6.633E-2</v>
      </c>
    </row>
    <row r="5" spans="1:2" x14ac:dyDescent="0.3">
      <c r="A5" s="2" t="s">
        <v>13</v>
      </c>
      <c r="B5" s="7">
        <v>7.2599999999999998E-2</v>
      </c>
    </row>
    <row r="6" spans="1:2" x14ac:dyDescent="0.3">
      <c r="A6" s="2" t="s">
        <v>14</v>
      </c>
      <c r="B6" s="7">
        <v>0.25</v>
      </c>
    </row>
    <row r="7" spans="1:2" x14ac:dyDescent="0.3">
      <c r="A7" s="2" t="s">
        <v>15</v>
      </c>
      <c r="B7" s="7">
        <f>Stress_Test!L9</f>
        <v>2.5000000000000001E-2</v>
      </c>
    </row>
    <row r="8" spans="1:2" x14ac:dyDescent="0.3">
      <c r="A8" s="2" t="s">
        <v>16</v>
      </c>
      <c r="B8" s="7">
        <v>0.04</v>
      </c>
    </row>
    <row r="10" spans="1:2" x14ac:dyDescent="0.3">
      <c r="A10" s="10" t="s">
        <v>17</v>
      </c>
      <c r="B10" s="13"/>
    </row>
    <row r="11" spans="1:2" x14ac:dyDescent="0.3">
      <c r="A11" s="8" t="s">
        <v>18</v>
      </c>
      <c r="B11" s="12">
        <v>1</v>
      </c>
    </row>
    <row r="12" spans="1:2" x14ac:dyDescent="0.3">
      <c r="A12" s="2" t="s">
        <v>19</v>
      </c>
      <c r="B12" s="7">
        <v>0.3</v>
      </c>
    </row>
    <row r="13" spans="1:2" x14ac:dyDescent="0.3">
      <c r="A13" s="2" t="s">
        <v>20</v>
      </c>
      <c r="B13" s="7">
        <v>8.5000000000000006E-2</v>
      </c>
    </row>
    <row r="15" spans="1:2" x14ac:dyDescent="0.3">
      <c r="A15" s="10" t="s">
        <v>21</v>
      </c>
      <c r="B15" s="13"/>
    </row>
    <row r="16" spans="1:2" x14ac:dyDescent="0.3">
      <c r="A16" s="8" t="s">
        <v>22</v>
      </c>
      <c r="B16" s="12" cm="1">
        <f t="array" aca="1" ref="B16" ca="1">_FV(Control!B3,"Shares outstanding",TRUE)/10000000</f>
        <v>368.23309999999998</v>
      </c>
    </row>
    <row r="17" spans="1:2" x14ac:dyDescent="0.3">
      <c r="A17" s="2" t="s">
        <v>23</v>
      </c>
      <c r="B17" s="20" cm="1">
        <f t="array" aca="1" ref="B17" ca="1">_FV(Control!B3,"Price")</f>
        <v>363.25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7463-E0B5-4858-9D87-E71DA1CAFBF6}">
  <dimension ref="A1:I7"/>
  <sheetViews>
    <sheetView workbookViewId="0">
      <selection activeCell="E6" sqref="E6"/>
    </sheetView>
  </sheetViews>
  <sheetFormatPr defaultRowHeight="14.4" x14ac:dyDescent="0.3"/>
  <cols>
    <col min="1" max="1" width="14.6640625" bestFit="1" customWidth="1"/>
    <col min="2" max="9" width="10.88671875" bestFit="1" customWidth="1"/>
  </cols>
  <sheetData>
    <row r="1" spans="1:9" x14ac:dyDescent="0.3">
      <c r="A1" s="1" t="s">
        <v>25</v>
      </c>
      <c r="B1" s="21" t="s">
        <v>26</v>
      </c>
      <c r="C1" s="21" t="s">
        <v>27</v>
      </c>
      <c r="D1" s="21" t="s">
        <v>28</v>
      </c>
      <c r="E1" s="21" t="s">
        <v>29</v>
      </c>
      <c r="F1" s="21" t="s">
        <v>30</v>
      </c>
      <c r="G1" s="21" t="s">
        <v>31</v>
      </c>
      <c r="H1" s="21" t="s">
        <v>32</v>
      </c>
      <c r="I1" s="21" t="s">
        <v>33</v>
      </c>
    </row>
    <row r="3" spans="1:9" x14ac:dyDescent="0.3">
      <c r="A3" s="6" t="s">
        <v>34</v>
      </c>
      <c r="B3" s="25">
        <f>LN(422637/367498)</f>
        <v>0.13979577813001937</v>
      </c>
      <c r="C3" s="25">
        <v>8.3000000000000004E-2</v>
      </c>
      <c r="D3" s="25">
        <v>0.02</v>
      </c>
      <c r="E3" s="25">
        <f>AVERAGE(B3:D3)</f>
        <v>8.0931926043339791E-2</v>
      </c>
      <c r="F3" s="25">
        <f t="shared" ref="F3:I3" si="0">AVERAGE(C3:E3)</f>
        <v>6.1310642014446602E-2</v>
      </c>
      <c r="G3" s="25">
        <f t="shared" si="0"/>
        <v>5.408085601926213E-2</v>
      </c>
      <c r="H3" s="25">
        <f t="shared" si="0"/>
        <v>6.5441141359016172E-2</v>
      </c>
      <c r="I3" s="25">
        <f t="shared" si="0"/>
        <v>6.0277546464241639E-2</v>
      </c>
    </row>
    <row r="4" spans="1:9" x14ac:dyDescent="0.3">
      <c r="A4" s="6" t="s">
        <v>35</v>
      </c>
      <c r="B4" s="26">
        <f>B5-B3</f>
        <v>7.7296019453263948E-2</v>
      </c>
      <c r="C4" s="26">
        <f t="shared" ref="C4:D4" si="1">C5-C3</f>
        <v>0.14373809170715329</v>
      </c>
      <c r="D4" s="26">
        <f t="shared" si="1"/>
        <v>-7.0000950477784492E-3</v>
      </c>
      <c r="E4" s="25">
        <f>AVERAGE(B4:D4)</f>
        <v>7.1344672037546256E-2</v>
      </c>
      <c r="F4" s="25">
        <f t="shared" ref="F4:I4" si="2">AVERAGE(C4:E4)</f>
        <v>6.9360889565640363E-2</v>
      </c>
      <c r="G4" s="25">
        <f t="shared" si="2"/>
        <v>4.4568488851802722E-2</v>
      </c>
      <c r="H4" s="25">
        <f t="shared" si="2"/>
        <v>6.1758016818329785E-2</v>
      </c>
      <c r="I4" s="25">
        <f t="shared" si="2"/>
        <v>5.8562465078590954E-2</v>
      </c>
    </row>
    <row r="5" spans="1:9" x14ac:dyDescent="0.3">
      <c r="A5" s="31" t="s">
        <v>36</v>
      </c>
      <c r="B5" s="32">
        <f>LN(B7/278453.62)</f>
        <v>0.21709179758328331</v>
      </c>
      <c r="C5" s="32">
        <f>LN(C7/B7)</f>
        <v>0.22673809170715331</v>
      </c>
      <c r="D5" s="32">
        <f>LN(D7/C7)</f>
        <v>1.2999904952221551E-2</v>
      </c>
      <c r="E5" s="33">
        <f>Stress_Test!L4</f>
        <v>0.15227659808088606</v>
      </c>
      <c r="F5" s="33">
        <f t="shared" ref="F5:I5" si="3">F3+F4</f>
        <v>0.13067153158008696</v>
      </c>
      <c r="G5" s="33">
        <f t="shared" si="3"/>
        <v>9.8649344871064859E-2</v>
      </c>
      <c r="H5" s="33">
        <f t="shared" si="3"/>
        <v>0.12719915817734595</v>
      </c>
      <c r="I5" s="33">
        <f t="shared" si="3"/>
        <v>0.11884001154283259</v>
      </c>
    </row>
    <row r="6" spans="1:9" x14ac:dyDescent="0.3">
      <c r="A6" s="37"/>
      <c r="B6" s="38"/>
      <c r="C6" s="38"/>
      <c r="D6" s="38"/>
      <c r="E6" s="38"/>
      <c r="F6" s="38"/>
      <c r="G6" s="38"/>
      <c r="H6" s="38"/>
      <c r="I6" s="39"/>
    </row>
    <row r="7" spans="1:9" x14ac:dyDescent="0.3">
      <c r="A7" s="34" t="s">
        <v>37</v>
      </c>
      <c r="B7" s="35">
        <v>345966.97</v>
      </c>
      <c r="C7" s="35">
        <v>434016</v>
      </c>
      <c r="D7" s="35">
        <v>439695</v>
      </c>
      <c r="E7" s="36">
        <f>D7*(1+E5)</f>
        <v>506650.25879317516</v>
      </c>
      <c r="F7" s="36">
        <f t="shared" ref="F7:I7" si="4">E7*(1+F5)</f>
        <v>572855.02408512682</v>
      </c>
      <c r="G7" s="36">
        <f t="shared" si="4"/>
        <v>629366.79691722267</v>
      </c>
      <c r="H7" s="36">
        <f t="shared" si="4"/>
        <v>709421.7236698661</v>
      </c>
      <c r="I7" s="36">
        <f t="shared" si="4"/>
        <v>793729.40949952917</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A43D-C4A6-40D9-A8D1-ED6541BD6DAF}">
  <dimension ref="A1:I18"/>
  <sheetViews>
    <sheetView workbookViewId="0">
      <selection activeCell="E16" sqref="E16"/>
    </sheetView>
  </sheetViews>
  <sheetFormatPr defaultRowHeight="14.4" x14ac:dyDescent="0.3"/>
  <cols>
    <col min="1" max="1" width="24.5546875" bestFit="1" customWidth="1"/>
    <col min="2" max="9" width="10.88671875" bestFit="1" customWidth="1"/>
  </cols>
  <sheetData>
    <row r="1" spans="1:9" x14ac:dyDescent="0.3">
      <c r="A1" s="1" t="s">
        <v>38</v>
      </c>
      <c r="B1" s="21" t="s">
        <v>26</v>
      </c>
      <c r="C1" s="21" t="s">
        <v>27</v>
      </c>
      <c r="D1" s="21" t="s">
        <v>28</v>
      </c>
      <c r="E1" s="21" t="s">
        <v>29</v>
      </c>
      <c r="F1" s="21" t="s">
        <v>30</v>
      </c>
      <c r="G1" s="21" t="s">
        <v>31</v>
      </c>
      <c r="H1" s="21" t="s">
        <v>32</v>
      </c>
      <c r="I1" s="21" t="s">
        <v>33</v>
      </c>
    </row>
    <row r="2" spans="1:9" x14ac:dyDescent="0.3">
      <c r="A2" s="1"/>
      <c r="B2" s="21"/>
      <c r="C2" s="21"/>
      <c r="D2" s="21"/>
      <c r="E2" s="21"/>
      <c r="F2" s="21"/>
      <c r="G2" s="21"/>
      <c r="H2" s="21"/>
      <c r="I2" s="21"/>
    </row>
    <row r="3" spans="1:9" x14ac:dyDescent="0.3">
      <c r="A3" s="6" t="s">
        <v>37</v>
      </c>
      <c r="B3" s="41">
        <f>Revenue_Drivers!B7</f>
        <v>345966.97</v>
      </c>
      <c r="C3" s="41">
        <f>Revenue_Drivers!C7</f>
        <v>434016</v>
      </c>
      <c r="D3" s="41">
        <f>Revenue_Drivers!D7</f>
        <v>439695</v>
      </c>
      <c r="E3" s="41">
        <f>Revenue_Drivers!E7</f>
        <v>506650.25879317516</v>
      </c>
      <c r="F3" s="41">
        <f>Revenue_Drivers!F7</f>
        <v>572855.02408512682</v>
      </c>
      <c r="G3" s="41">
        <f>Revenue_Drivers!G7</f>
        <v>629366.79691722267</v>
      </c>
      <c r="H3" s="41">
        <f>Revenue_Drivers!H7</f>
        <v>709421.7236698661</v>
      </c>
      <c r="I3" s="41">
        <f>Revenue_Drivers!I7</f>
        <v>793729.40949952917</v>
      </c>
    </row>
    <row r="4" spans="1:9" x14ac:dyDescent="0.3">
      <c r="A4" s="6"/>
      <c r="B4" s="41"/>
      <c r="C4" s="41"/>
      <c r="D4" s="41"/>
      <c r="E4" s="41"/>
      <c r="F4" s="41"/>
      <c r="G4" s="41"/>
      <c r="H4" s="41"/>
      <c r="I4" s="41"/>
    </row>
    <row r="5" spans="1:9" x14ac:dyDescent="0.3">
      <c r="A5" s="6" t="s">
        <v>39</v>
      </c>
      <c r="B5" s="42">
        <f>B6/B3</f>
        <v>0.65459902140369075</v>
      </c>
      <c r="C5" s="42">
        <f t="shared" ref="C5:D5" si="0">C6/C3</f>
        <v>0.62844618631571181</v>
      </c>
      <c r="D5" s="42">
        <f t="shared" si="0"/>
        <v>0.6181239268129044</v>
      </c>
      <c r="E5" s="42">
        <f>AVERAGE(B5:D5)</f>
        <v>0.63372304484410236</v>
      </c>
      <c r="F5" s="42">
        <f t="shared" ref="F5:I5" si="1">AVERAGE(C5:E5)</f>
        <v>0.62676438599090611</v>
      </c>
      <c r="G5" s="42">
        <f t="shared" si="1"/>
        <v>0.62620378588263759</v>
      </c>
      <c r="H5" s="42">
        <f t="shared" si="1"/>
        <v>0.62889707223921532</v>
      </c>
      <c r="I5" s="42">
        <f t="shared" si="1"/>
        <v>0.62728841470425301</v>
      </c>
    </row>
    <row r="6" spans="1:9" x14ac:dyDescent="0.3">
      <c r="A6" s="6" t="s">
        <v>40</v>
      </c>
      <c r="B6" s="43">
        <f>208218.05+726.26+22306.95-4781.62</f>
        <v>226469.64</v>
      </c>
      <c r="C6" s="43">
        <f>249277.79+25043.44-1565.53</f>
        <v>272755.69999999995</v>
      </c>
      <c r="D6" s="43">
        <f>241148+27802+2836</f>
        <v>271786</v>
      </c>
      <c r="E6" s="43">
        <f t="shared" ref="E6:I6" si="2">E3*E5</f>
        <v>321075.94467346341</v>
      </c>
      <c r="F6" s="43">
        <f t="shared" si="2"/>
        <v>359045.12743252027</v>
      </c>
      <c r="G6" s="43">
        <f t="shared" si="2"/>
        <v>394111.87093839399</v>
      </c>
      <c r="H6" s="43">
        <f t="shared" si="2"/>
        <v>446153.24499887641</v>
      </c>
      <c r="I6" s="43">
        <f t="shared" si="2"/>
        <v>497897.26298910251</v>
      </c>
    </row>
    <row r="7" spans="1:9" x14ac:dyDescent="0.3">
      <c r="A7" s="6"/>
      <c r="B7" s="6"/>
      <c r="C7" s="6"/>
      <c r="D7" s="6"/>
      <c r="E7" s="6"/>
      <c r="F7" s="6"/>
      <c r="G7" s="6"/>
      <c r="H7" s="6"/>
      <c r="I7" s="6"/>
    </row>
    <row r="8" spans="1:9" x14ac:dyDescent="0.3">
      <c r="A8" s="6" t="s">
        <v>41</v>
      </c>
      <c r="B8" s="42">
        <f>B9/B3</f>
        <v>9.7277205393335675E-2</v>
      </c>
      <c r="C8" s="42">
        <f t="shared" ref="C8:D8" si="3">C9/C3</f>
        <v>9.674758534247585E-2</v>
      </c>
      <c r="D8" s="42">
        <f t="shared" si="3"/>
        <v>0.10863666859982488</v>
      </c>
      <c r="E8" s="42">
        <f>AVERAGE(B8:D8)</f>
        <v>0.10088715311187879</v>
      </c>
      <c r="F8" s="42">
        <f t="shared" ref="F8:I8" si="4">AVERAGE(C8:E8)</f>
        <v>0.10209046901805985</v>
      </c>
      <c r="G8" s="42">
        <f t="shared" si="4"/>
        <v>0.10387143024325451</v>
      </c>
      <c r="H8" s="42">
        <f t="shared" si="4"/>
        <v>0.10228301745773105</v>
      </c>
      <c r="I8" s="42">
        <f t="shared" si="4"/>
        <v>0.10274830557301513</v>
      </c>
    </row>
    <row r="9" spans="1:9" x14ac:dyDescent="0.3">
      <c r="A9" s="6" t="s">
        <v>42</v>
      </c>
      <c r="B9" s="43">
        <v>33654.699999999997</v>
      </c>
      <c r="C9" s="43">
        <v>41990</v>
      </c>
      <c r="D9" s="43">
        <v>47767</v>
      </c>
      <c r="E9" s="43">
        <f t="shared" ref="E9:I9" si="5">E3*E8</f>
        <v>51114.502233040075</v>
      </c>
      <c r="F9" s="43">
        <f t="shared" si="5"/>
        <v>58483.038088202571</v>
      </c>
      <c r="G9" s="43">
        <f t="shared" si="5"/>
        <v>65373.229343407824</v>
      </c>
      <c r="H9" s="43">
        <f t="shared" si="5"/>
        <v>72561.794547018566</v>
      </c>
      <c r="I9" s="43">
        <f t="shared" si="5"/>
        <v>81554.351909546487</v>
      </c>
    </row>
    <row r="10" spans="1:9" x14ac:dyDescent="0.3">
      <c r="A10" s="6"/>
      <c r="B10" s="6"/>
      <c r="C10" s="6"/>
      <c r="D10" s="6"/>
      <c r="E10" s="6"/>
      <c r="F10" s="6"/>
      <c r="G10" s="6"/>
      <c r="H10" s="6"/>
      <c r="I10" s="6"/>
    </row>
    <row r="11" spans="1:9" x14ac:dyDescent="0.3">
      <c r="A11" s="6" t="s">
        <v>43</v>
      </c>
      <c r="B11" s="42">
        <f>B12/B3</f>
        <v>0.17858918728571113</v>
      </c>
      <c r="C11" s="42">
        <f t="shared" ref="C11:D11" si="6">C12/C3</f>
        <v>0.17786901865369018</v>
      </c>
      <c r="D11" s="42">
        <f t="shared" si="6"/>
        <v>0.19422326840196044</v>
      </c>
      <c r="E11" s="42">
        <f>AVERAGE(B11:D11)</f>
        <v>0.18356049144712058</v>
      </c>
      <c r="F11" s="42">
        <f t="shared" ref="F11:I11" si="7">AVERAGE(C11:E11)</f>
        <v>0.18521759283425707</v>
      </c>
      <c r="G11" s="42">
        <f t="shared" si="7"/>
        <v>0.18766711756111268</v>
      </c>
      <c r="H11" s="42">
        <f t="shared" si="7"/>
        <v>0.18548173394749679</v>
      </c>
      <c r="I11" s="42">
        <f t="shared" si="7"/>
        <v>0.18612214811428884</v>
      </c>
    </row>
    <row r="12" spans="1:9" x14ac:dyDescent="0.3">
      <c r="A12" s="6" t="s">
        <v>44</v>
      </c>
      <c r="B12" s="43">
        <v>61785.96</v>
      </c>
      <c r="C12" s="43">
        <v>77198</v>
      </c>
      <c r="D12" s="43">
        <v>85399</v>
      </c>
      <c r="E12" s="43">
        <f t="shared" ref="E12:I12" si="8">E3*E11</f>
        <v>93000.970495886053</v>
      </c>
      <c r="F12" s="43">
        <f t="shared" si="8"/>
        <v>106102.82860405755</v>
      </c>
      <c r="G12" s="43">
        <f t="shared" si="8"/>
        <v>118111.45266612536</v>
      </c>
      <c r="H12" s="43">
        <f t="shared" si="8"/>
        <v>131584.77140630869</v>
      </c>
      <c r="I12" s="43">
        <f t="shared" si="8"/>
        <v>147730.62271753838</v>
      </c>
    </row>
    <row r="13" spans="1:9" x14ac:dyDescent="0.3">
      <c r="A13" s="6"/>
      <c r="B13" s="6"/>
      <c r="C13" s="6"/>
      <c r="D13" s="6"/>
      <c r="E13" s="6"/>
      <c r="F13" s="6"/>
      <c r="G13" s="6"/>
      <c r="H13" s="6"/>
      <c r="I13" s="6"/>
    </row>
    <row r="14" spans="1:9" x14ac:dyDescent="0.3">
      <c r="A14" s="6" t="s">
        <v>45</v>
      </c>
      <c r="B14" s="43">
        <f>B3-B6-B9-B12</f>
        <v>24056.669999999962</v>
      </c>
      <c r="C14" s="43">
        <f t="shared" ref="C14:I14" si="9">C3-C6-C9-C12</f>
        <v>42072.300000000047</v>
      </c>
      <c r="D14" s="43">
        <f t="shared" si="9"/>
        <v>34743</v>
      </c>
      <c r="E14" s="43">
        <f t="shared" si="9"/>
        <v>41458.841390785616</v>
      </c>
      <c r="F14" s="43">
        <f t="shared" si="9"/>
        <v>49224.029960346437</v>
      </c>
      <c r="G14" s="43">
        <f t="shared" si="9"/>
        <v>51770.243969295509</v>
      </c>
      <c r="H14" s="43">
        <f t="shared" si="9"/>
        <v>59121.912717662432</v>
      </c>
      <c r="I14" s="43">
        <f t="shared" si="9"/>
        <v>66547.171883341798</v>
      </c>
    </row>
    <row r="15" spans="1:9" x14ac:dyDescent="0.3">
      <c r="A15" s="6" t="s">
        <v>46</v>
      </c>
      <c r="B15" s="29">
        <f>B14/B3</f>
        <v>6.9534585917262456E-2</v>
      </c>
      <c r="C15" s="29">
        <f t="shared" ref="C15:I15" si="10">C14/C3</f>
        <v>9.6937209688122208E-2</v>
      </c>
      <c r="D15" s="29">
        <f t="shared" si="10"/>
        <v>7.9016136185310268E-2</v>
      </c>
      <c r="E15" s="29">
        <f>Stress_Test!L5</f>
        <v>8.1829310596898269E-2</v>
      </c>
      <c r="F15" s="29">
        <f t="shared" si="10"/>
        <v>8.5927552156776929E-2</v>
      </c>
      <c r="G15" s="29">
        <f t="shared" si="10"/>
        <v>8.2257666312995179E-2</v>
      </c>
      <c r="H15" s="29">
        <f t="shared" si="10"/>
        <v>8.3338176355556862E-2</v>
      </c>
      <c r="I15" s="29">
        <f t="shared" si="10"/>
        <v>8.3841131608443031E-2</v>
      </c>
    </row>
    <row r="16" spans="1:9" x14ac:dyDescent="0.3">
      <c r="A16" s="6"/>
      <c r="B16" s="6"/>
      <c r="C16" s="6"/>
      <c r="D16" s="6"/>
      <c r="E16" s="6"/>
      <c r="F16" s="6"/>
      <c r="G16" s="6"/>
      <c r="H16" s="6"/>
      <c r="I16" s="6"/>
    </row>
    <row r="17" spans="1:9" x14ac:dyDescent="0.3">
      <c r="A17" s="6" t="s">
        <v>47</v>
      </c>
      <c r="B17" s="44">
        <v>24860.36</v>
      </c>
      <c r="C17" s="44">
        <v>27270.13</v>
      </c>
      <c r="D17" s="44">
        <v>23256</v>
      </c>
      <c r="E17" s="44">
        <v>0</v>
      </c>
      <c r="F17" s="44">
        <v>0</v>
      </c>
      <c r="G17" s="44">
        <v>0</v>
      </c>
      <c r="H17" s="44">
        <v>0</v>
      </c>
      <c r="I17" s="44">
        <v>0</v>
      </c>
    </row>
    <row r="18" spans="1:9" x14ac:dyDescent="0.3">
      <c r="A18" s="6" t="s">
        <v>48</v>
      </c>
      <c r="B18" s="43">
        <f>B14-B17</f>
        <v>-803.69000000003871</v>
      </c>
      <c r="C18" s="43">
        <f t="shared" ref="C18:I18" si="11">C14-C17</f>
        <v>14802.170000000046</v>
      </c>
      <c r="D18" s="43">
        <f t="shared" si="11"/>
        <v>11487</v>
      </c>
      <c r="E18" s="43">
        <f t="shared" si="11"/>
        <v>41458.841390785616</v>
      </c>
      <c r="F18" s="43">
        <f t="shared" si="11"/>
        <v>49224.029960346437</v>
      </c>
      <c r="G18" s="43">
        <f t="shared" si="11"/>
        <v>51770.243969295509</v>
      </c>
      <c r="H18" s="43">
        <f t="shared" si="11"/>
        <v>59121.912717662432</v>
      </c>
      <c r="I18" s="43">
        <f t="shared" si="11"/>
        <v>66547.171883341798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5B99-9AC3-4751-B374-2B27BA6E9EB4}">
  <dimension ref="A1:I20"/>
  <sheetViews>
    <sheetView workbookViewId="0">
      <selection activeCell="K10" sqref="K10"/>
    </sheetView>
  </sheetViews>
  <sheetFormatPr defaultRowHeight="14.4" x14ac:dyDescent="0.3"/>
  <cols>
    <col min="1" max="1" width="17.88671875" bestFit="1" customWidth="1"/>
    <col min="2" max="9" width="10.88671875" bestFit="1" customWidth="1"/>
  </cols>
  <sheetData>
    <row r="1" spans="1:9" x14ac:dyDescent="0.3">
      <c r="A1" s="1" t="s">
        <v>49</v>
      </c>
      <c r="B1" s="21" t="s">
        <v>26</v>
      </c>
      <c r="C1" s="21" t="s">
        <v>27</v>
      </c>
      <c r="D1" s="21" t="s">
        <v>28</v>
      </c>
      <c r="E1" s="21" t="s">
        <v>29</v>
      </c>
      <c r="F1" s="21" t="s">
        <v>30</v>
      </c>
      <c r="G1" s="21" t="s">
        <v>31</v>
      </c>
      <c r="H1" s="21" t="s">
        <v>32</v>
      </c>
      <c r="I1" s="21" t="s">
        <v>33</v>
      </c>
    </row>
    <row r="3" spans="1:9" x14ac:dyDescent="0.3">
      <c r="A3" s="6" t="s">
        <v>37</v>
      </c>
      <c r="B3" s="41">
        <f>Operating_Costs!B3</f>
        <v>345966.97</v>
      </c>
      <c r="C3" s="41">
        <f>Operating_Costs!C3</f>
        <v>434016</v>
      </c>
      <c r="D3" s="41">
        <f>Operating_Costs!D3</f>
        <v>439695</v>
      </c>
      <c r="E3" s="41">
        <f>Operating_Costs!E3</f>
        <v>506650.25879317516</v>
      </c>
      <c r="F3" s="41">
        <f>Operating_Costs!F3</f>
        <v>572855.02408512682</v>
      </c>
      <c r="G3" s="41">
        <f>Operating_Costs!G3</f>
        <v>629366.79691722267</v>
      </c>
      <c r="H3" s="41">
        <f>Operating_Costs!H3</f>
        <v>709421.7236698661</v>
      </c>
      <c r="I3" s="41">
        <f>Operating_Costs!I3</f>
        <v>793729.40949952917</v>
      </c>
    </row>
    <row r="4" spans="1:9" x14ac:dyDescent="0.3">
      <c r="A4" s="6" t="s">
        <v>40</v>
      </c>
      <c r="B4" s="41">
        <f>Operating_Costs!B6</f>
        <v>226469.64</v>
      </c>
      <c r="C4" s="41">
        <f>Operating_Costs!C6</f>
        <v>272755.69999999995</v>
      </c>
      <c r="D4" s="41">
        <f>Operating_Costs!D6</f>
        <v>271786</v>
      </c>
      <c r="E4" s="41">
        <f>Operating_Costs!E6</f>
        <v>321075.94467346341</v>
      </c>
      <c r="F4" s="41">
        <f>Operating_Costs!F6</f>
        <v>359045.12743252027</v>
      </c>
      <c r="G4" s="41">
        <f>Operating_Costs!G6</f>
        <v>394111.87093839399</v>
      </c>
      <c r="H4" s="41">
        <f>Operating_Costs!H6</f>
        <v>446153.24499887641</v>
      </c>
      <c r="I4" s="41">
        <f>Operating_Costs!I6</f>
        <v>497897.26298910251</v>
      </c>
    </row>
    <row r="5" spans="1:9" x14ac:dyDescent="0.3">
      <c r="A5" s="6"/>
      <c r="B5" s="6"/>
      <c r="C5" s="6"/>
      <c r="D5" s="6"/>
      <c r="E5" s="6"/>
      <c r="F5" s="6"/>
      <c r="G5" s="6"/>
      <c r="H5" s="6"/>
      <c r="I5" s="6"/>
    </row>
    <row r="6" spans="1:9" x14ac:dyDescent="0.3">
      <c r="A6" s="6" t="s">
        <v>50</v>
      </c>
      <c r="B6" s="45">
        <f>(B7/B3)*365</f>
        <v>16.603778823163381</v>
      </c>
      <c r="C6" s="45">
        <f t="shared" ref="C6:D6" si="0">(C7/C3)*365</f>
        <v>14.256180993327435</v>
      </c>
      <c r="D6" s="45">
        <f t="shared" si="0"/>
        <v>10.9974414082489</v>
      </c>
      <c r="E6" s="45">
        <f>D6</f>
        <v>10.9974414082489</v>
      </c>
      <c r="F6" s="45">
        <f t="shared" ref="F6:I6" si="1">E6</f>
        <v>10.9974414082489</v>
      </c>
      <c r="G6" s="45">
        <f t="shared" si="1"/>
        <v>10.9974414082489</v>
      </c>
      <c r="H6" s="45">
        <f t="shared" si="1"/>
        <v>10.9974414082489</v>
      </c>
      <c r="I6" s="45">
        <f t="shared" si="1"/>
        <v>10.9974414082489</v>
      </c>
    </row>
    <row r="7" spans="1:9" x14ac:dyDescent="0.3">
      <c r="A7" s="6" t="s">
        <v>51</v>
      </c>
      <c r="B7" s="44">
        <v>15737.97</v>
      </c>
      <c r="C7" s="44">
        <v>16951.810000000001</v>
      </c>
      <c r="D7" s="44">
        <v>13248</v>
      </c>
      <c r="E7" s="46">
        <f>E3*E6/365</f>
        <v>15265.360371375577</v>
      </c>
      <c r="F7" s="46">
        <f t="shared" ref="F7:I7" si="2">F3*F6/365</f>
        <v>17260.108391225189</v>
      </c>
      <c r="G7" s="46">
        <f t="shared" si="2"/>
        <v>18962.806776423124</v>
      </c>
      <c r="H7" s="46">
        <f t="shared" si="2"/>
        <v>21374.85983506382</v>
      </c>
      <c r="I7" s="46">
        <f t="shared" si="2"/>
        <v>23915.048424589229</v>
      </c>
    </row>
    <row r="8" spans="1:9" x14ac:dyDescent="0.3">
      <c r="A8" s="6"/>
      <c r="B8" s="6"/>
      <c r="C8" s="6"/>
      <c r="D8" s="6"/>
      <c r="E8" s="3"/>
      <c r="F8" s="3"/>
      <c r="G8" s="3"/>
      <c r="H8" s="3"/>
      <c r="I8" s="3"/>
    </row>
    <row r="9" spans="1:9" x14ac:dyDescent="0.3">
      <c r="A9" s="6" t="s">
        <v>52</v>
      </c>
      <c r="B9" s="45">
        <f>(B10/B4)*365</f>
        <v>65.685260726338413</v>
      </c>
      <c r="C9" s="45">
        <f t="shared" ref="C9:D9" si="3">(C10/C4)*365</f>
        <v>63.949995728778553</v>
      </c>
      <c r="D9" s="45">
        <f t="shared" si="3"/>
        <v>63.480771636508138</v>
      </c>
      <c r="E9" s="45">
        <f>Stress_Test!L7</f>
        <v>63.480771636508138</v>
      </c>
      <c r="F9" s="45">
        <f t="shared" ref="F9:I9" si="4">E9</f>
        <v>63.480771636508138</v>
      </c>
      <c r="G9" s="45">
        <f t="shared" si="4"/>
        <v>63.480771636508138</v>
      </c>
      <c r="H9" s="45">
        <f t="shared" si="4"/>
        <v>63.480771636508138</v>
      </c>
      <c r="I9" s="45">
        <f t="shared" si="4"/>
        <v>63.480771636508138</v>
      </c>
    </row>
    <row r="10" spans="1:9" x14ac:dyDescent="0.3">
      <c r="A10" s="6" t="s">
        <v>53</v>
      </c>
      <c r="B10" s="6">
        <v>40755.39</v>
      </c>
      <c r="C10" s="6">
        <v>47788.29</v>
      </c>
      <c r="D10" s="44">
        <v>47269</v>
      </c>
      <c r="E10" s="46">
        <f>D4*E9/365</f>
        <v>47269</v>
      </c>
      <c r="F10" s="46">
        <f t="shared" ref="F10:I10" si="5">E4*F9/365</f>
        <v>55841.503347376027</v>
      </c>
      <c r="G10" s="46">
        <f t="shared" si="5"/>
        <v>62445.100662314471</v>
      </c>
      <c r="H10" s="46">
        <f t="shared" si="5"/>
        <v>68543.905967882616</v>
      </c>
      <c r="I10" s="46">
        <f t="shared" si="5"/>
        <v>77594.937700440394</v>
      </c>
    </row>
    <row r="11" spans="1:9" x14ac:dyDescent="0.3">
      <c r="A11" s="6"/>
      <c r="B11" s="6"/>
      <c r="C11" s="6"/>
      <c r="D11" s="6"/>
      <c r="E11" s="3"/>
      <c r="F11" s="3"/>
      <c r="G11" s="3"/>
      <c r="H11" s="3"/>
      <c r="I11" s="3"/>
    </row>
    <row r="12" spans="1:9" x14ac:dyDescent="0.3">
      <c r="A12" s="6" t="s">
        <v>54</v>
      </c>
      <c r="B12" s="45">
        <f>(B13/B4)*365</f>
        <v>116.13192854459429</v>
      </c>
      <c r="C12" s="45">
        <f t="shared" ref="C12:D12" si="6">(C13/C4)*365</f>
        <v>117.81853413145905</v>
      </c>
      <c r="D12" s="45">
        <f t="shared" si="6"/>
        <v>126.3437778252007</v>
      </c>
      <c r="E12" s="45">
        <f>D12</f>
        <v>126.3437778252007</v>
      </c>
      <c r="F12" s="45">
        <f t="shared" ref="F12:I12" si="7">E12</f>
        <v>126.3437778252007</v>
      </c>
      <c r="G12" s="45">
        <f t="shared" si="7"/>
        <v>126.3437778252007</v>
      </c>
      <c r="H12" s="45">
        <f t="shared" si="7"/>
        <v>126.3437778252007</v>
      </c>
      <c r="I12" s="45">
        <f t="shared" si="7"/>
        <v>126.3437778252007</v>
      </c>
    </row>
    <row r="13" spans="1:9" x14ac:dyDescent="0.3">
      <c r="A13" s="6" t="s">
        <v>55</v>
      </c>
      <c r="B13" s="44">
        <f>316.01+71739.76</f>
        <v>72055.76999999999</v>
      </c>
      <c r="C13" s="44">
        <f>502.31+87540.64</f>
        <v>88042.95</v>
      </c>
      <c r="D13" s="44">
        <f>452+93626</f>
        <v>94078</v>
      </c>
      <c r="E13" s="46">
        <f>E4*E12/365</f>
        <v>111139.58306531643</v>
      </c>
      <c r="F13" s="46">
        <f t="shared" ref="F13:I13" si="8">F4*F12/365</f>
        <v>124282.51454672663</v>
      </c>
      <c r="G13" s="46">
        <f t="shared" si="8"/>
        <v>136420.77441127293</v>
      </c>
      <c r="H13" s="46">
        <f t="shared" si="8"/>
        <v>154434.75743049418</v>
      </c>
      <c r="I13" s="46">
        <f t="shared" si="8"/>
        <v>172345.8114380019</v>
      </c>
    </row>
    <row r="14" spans="1:9" x14ac:dyDescent="0.3">
      <c r="A14" s="6"/>
      <c r="B14" s="6"/>
      <c r="C14" s="6"/>
      <c r="D14" s="6"/>
      <c r="E14" s="6"/>
      <c r="F14" s="6"/>
      <c r="G14" s="6"/>
      <c r="H14" s="6"/>
      <c r="I14" s="6"/>
    </row>
    <row r="15" spans="1:9" x14ac:dyDescent="0.3">
      <c r="A15" s="6" t="s">
        <v>56</v>
      </c>
      <c r="B15" s="44">
        <f>B7+B10-B13</f>
        <v>-15562.409999999989</v>
      </c>
      <c r="C15" s="44">
        <f t="shared" ref="C15:I15" si="9">C7+C10-C13</f>
        <v>-23302.849999999991</v>
      </c>
      <c r="D15" s="44">
        <f t="shared" si="9"/>
        <v>-33561</v>
      </c>
      <c r="E15" s="44">
        <f t="shared" si="9"/>
        <v>-48605.222693940857</v>
      </c>
      <c r="F15" s="44">
        <f t="shared" si="9"/>
        <v>-51180.902808125407</v>
      </c>
      <c r="G15" s="44">
        <f t="shared" si="9"/>
        <v>-55012.866972535325</v>
      </c>
      <c r="H15" s="44">
        <f t="shared" si="9"/>
        <v>-64515.991627547744</v>
      </c>
      <c r="I15" s="44">
        <f t="shared" si="9"/>
        <v>-70835.825312972273</v>
      </c>
    </row>
    <row r="16" spans="1:9" s="4" customFormat="1" x14ac:dyDescent="0.3">
      <c r="A16" s="6" t="s">
        <v>124</v>
      </c>
      <c r="B16" s="30">
        <f>B15/B3</f>
        <v>-4.4982357708887616E-2</v>
      </c>
      <c r="C16" s="30">
        <f t="shared" ref="C16:D16" si="10">C15/C3</f>
        <v>-5.3691223365037212E-2</v>
      </c>
      <c r="D16" s="30">
        <f t="shared" si="10"/>
        <v>-7.6327909118820994E-2</v>
      </c>
      <c r="E16" s="30">
        <f>AVERAGE($B$16:$D$16)</f>
        <v>-5.8333830064248603E-2</v>
      </c>
      <c r="F16" s="30">
        <f t="shared" ref="F16:I16" si="11">AVERAGE($B$16:$D$16)</f>
        <v>-5.8333830064248603E-2</v>
      </c>
      <c r="G16" s="30">
        <f t="shared" si="11"/>
        <v>-5.8333830064248603E-2</v>
      </c>
      <c r="H16" s="30">
        <f t="shared" si="11"/>
        <v>-5.8333830064248603E-2</v>
      </c>
      <c r="I16" s="30">
        <f t="shared" si="11"/>
        <v>-5.8333830064248603E-2</v>
      </c>
    </row>
    <row r="17" spans="1:9" x14ac:dyDescent="0.3">
      <c r="A17" s="6" t="s">
        <v>57</v>
      </c>
      <c r="B17" s="44">
        <v>0</v>
      </c>
      <c r="C17" s="44">
        <f>C15-B15</f>
        <v>-7740.4400000000023</v>
      </c>
      <c r="D17" s="44">
        <f t="shared" ref="D17:I17" si="12">D15-C15</f>
        <v>-10258.150000000009</v>
      </c>
      <c r="E17" s="44">
        <f t="shared" si="12"/>
        <v>-15044.222693940857</v>
      </c>
      <c r="F17" s="44">
        <f t="shared" si="12"/>
        <v>-2575.6801141845499</v>
      </c>
      <c r="G17" s="44">
        <f t="shared" si="12"/>
        <v>-3831.9641644099174</v>
      </c>
      <c r="H17" s="44">
        <f t="shared" si="12"/>
        <v>-9503.1246550124197</v>
      </c>
      <c r="I17" s="44">
        <f t="shared" si="12"/>
        <v>-6319.8336854245281</v>
      </c>
    </row>
    <row r="19" spans="1:9" x14ac:dyDescent="0.3">
      <c r="A19" t="s">
        <v>125</v>
      </c>
      <c r="E19" s="40">
        <f>E3*E16</f>
        <v>-29554.850098448656</v>
      </c>
      <c r="F19" s="40">
        <f t="shared" ref="F19:I19" si="13">F3*F16</f>
        <v>-33416.827626432831</v>
      </c>
      <c r="G19" s="40">
        <f t="shared" si="13"/>
        <v>-36713.375779449729</v>
      </c>
      <c r="H19" s="40">
        <f t="shared" si="13"/>
        <v>-41383.286272444297</v>
      </c>
      <c r="I19" s="40">
        <f t="shared" si="13"/>
        <v>-46301.276490741926</v>
      </c>
    </row>
    <row r="20" spans="1:9" x14ac:dyDescent="0.3">
      <c r="A20" t="s">
        <v>57</v>
      </c>
      <c r="E20" s="40">
        <f>D16*(E3-D3)</f>
        <v>-5110.5549081926138</v>
      </c>
      <c r="F20" s="40">
        <f t="shared" ref="F20:I20" si="14">E16*(F3-E3)</f>
        <v>-3861.977527984172</v>
      </c>
      <c r="G20" s="40">
        <f t="shared" si="14"/>
        <v>-3296.5481530169004</v>
      </c>
      <c r="H20" s="40">
        <f t="shared" si="14"/>
        <v>-4669.9104929945706</v>
      </c>
      <c r="I20" s="40">
        <f t="shared" si="14"/>
        <v>-4917.9902182976257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4EDE-F41A-4A63-A303-EDE7F8E54133}">
  <dimension ref="A1:I12"/>
  <sheetViews>
    <sheetView workbookViewId="0">
      <selection activeCell="K9" sqref="K9"/>
    </sheetView>
  </sheetViews>
  <sheetFormatPr defaultRowHeight="14.4" x14ac:dyDescent="0.3"/>
  <cols>
    <col min="1" max="1" width="27.88671875" bestFit="1" customWidth="1"/>
    <col min="2" max="9" width="10.88671875" bestFit="1" customWidth="1"/>
  </cols>
  <sheetData>
    <row r="1" spans="1:9" x14ac:dyDescent="0.3">
      <c r="A1" s="1" t="s">
        <v>58</v>
      </c>
      <c r="B1" s="21" t="s">
        <v>26</v>
      </c>
      <c r="C1" s="21" t="s">
        <v>27</v>
      </c>
      <c r="D1" s="21" t="s">
        <v>28</v>
      </c>
      <c r="E1" s="21" t="s">
        <v>29</v>
      </c>
      <c r="F1" s="21" t="s">
        <v>30</v>
      </c>
      <c r="G1" s="21" t="s">
        <v>31</v>
      </c>
      <c r="H1" s="21" t="s">
        <v>32</v>
      </c>
      <c r="I1" s="21" t="s">
        <v>33</v>
      </c>
    </row>
    <row r="3" spans="1:9" x14ac:dyDescent="0.3">
      <c r="A3" s="6" t="s">
        <v>37</v>
      </c>
      <c r="B3" s="41">
        <f>Working_Capital!B3</f>
        <v>345966.97</v>
      </c>
      <c r="C3" s="41">
        <f>Working_Capital!C3</f>
        <v>434016</v>
      </c>
      <c r="D3" s="41">
        <f>Working_Capital!D3</f>
        <v>439695</v>
      </c>
      <c r="E3" s="41">
        <f>Working_Capital!E3</f>
        <v>506650.25879317516</v>
      </c>
      <c r="F3" s="41">
        <f>Working_Capital!F3</f>
        <v>572855.02408512682</v>
      </c>
      <c r="G3" s="41">
        <f>Working_Capital!G3</f>
        <v>629366.79691722267</v>
      </c>
      <c r="H3" s="41">
        <f>Working_Capital!H3</f>
        <v>709421.7236698661</v>
      </c>
      <c r="I3" s="41">
        <f>Working_Capital!I3</f>
        <v>793729.40949952917</v>
      </c>
    </row>
    <row r="4" spans="1:9" x14ac:dyDescent="0.3">
      <c r="A4" s="6"/>
      <c r="B4" s="6"/>
      <c r="C4" s="6"/>
      <c r="D4" s="6"/>
      <c r="E4" s="6"/>
      <c r="F4" s="6"/>
      <c r="G4" s="6"/>
      <c r="H4" s="6"/>
      <c r="I4" s="6"/>
    </row>
    <row r="5" spans="1:9" s="4" customFormat="1" x14ac:dyDescent="0.3">
      <c r="A5" s="6" t="s">
        <v>59</v>
      </c>
      <c r="B5" s="25">
        <f>B6/B3</f>
        <v>2.4547516775951184E-2</v>
      </c>
      <c r="C5" s="25">
        <f t="shared" ref="C5:D5" si="0">C6/C3</f>
        <v>2.9894612180196123E-2</v>
      </c>
      <c r="D5" s="25">
        <f t="shared" si="0"/>
        <v>3.4544400095520761E-2</v>
      </c>
      <c r="E5" s="25">
        <f>Stress_Test!L6</f>
        <v>2.9662176350556024E-2</v>
      </c>
      <c r="F5" s="25">
        <f t="shared" ref="F5:I5" si="1">AVERAGE(C5:E5)</f>
        <v>3.1367062875424304E-2</v>
      </c>
      <c r="G5" s="25">
        <f t="shared" si="1"/>
        <v>3.1857879773833697E-2</v>
      </c>
      <c r="H5" s="25">
        <f t="shared" si="1"/>
        <v>3.0962372999938009E-2</v>
      </c>
      <c r="I5" s="25">
        <f t="shared" si="1"/>
        <v>3.1395771883065339E-2</v>
      </c>
    </row>
    <row r="6" spans="1:9" x14ac:dyDescent="0.3">
      <c r="A6" s="6" t="s">
        <v>60</v>
      </c>
      <c r="B6" s="44">
        <v>8492.6299999999992</v>
      </c>
      <c r="C6" s="44">
        <v>12974.74</v>
      </c>
      <c r="D6" s="44">
        <v>15189</v>
      </c>
      <c r="E6" s="44">
        <f>E3*E5</f>
        <v>15028.349324378009</v>
      </c>
      <c r="F6" s="44">
        <f t="shared" ref="F6:I6" si="2">F3*F5</f>
        <v>17968.779558980877</v>
      </c>
      <c r="G6" s="44">
        <f t="shared" si="2"/>
        <v>20050.291749831689</v>
      </c>
      <c r="H6" s="44">
        <f t="shared" si="2"/>
        <v>21965.380022525347</v>
      </c>
      <c r="I6" s="44">
        <f t="shared" si="2"/>
        <v>24919.747477527373</v>
      </c>
    </row>
    <row r="7" spans="1:9" x14ac:dyDescent="0.3">
      <c r="A7" s="6"/>
      <c r="B7" s="6"/>
      <c r="C7" s="6"/>
      <c r="D7" s="6"/>
      <c r="E7" s="6"/>
      <c r="F7" s="6"/>
      <c r="G7" s="6"/>
      <c r="H7" s="6"/>
      <c r="I7" s="6"/>
    </row>
    <row r="8" spans="1:9" x14ac:dyDescent="0.3">
      <c r="A8" s="6" t="s">
        <v>61</v>
      </c>
      <c r="B8" s="27">
        <v>80900.13</v>
      </c>
      <c r="C8" s="27">
        <v>76641.429999999993</v>
      </c>
      <c r="D8" s="27">
        <v>73124.66</v>
      </c>
      <c r="E8" s="27">
        <f t="shared" ref="E8:I8" si="3">D12</f>
        <v>65057.66</v>
      </c>
      <c r="F8" s="27">
        <f t="shared" si="3"/>
        <v>58809.039738493128</v>
      </c>
      <c r="G8" s="27">
        <f t="shared" si="3"/>
        <v>57157.269242358889</v>
      </c>
      <c r="H8" s="27">
        <f t="shared" si="3"/>
        <v>58560.732419619657</v>
      </c>
      <c r="I8" s="27">
        <f t="shared" si="3"/>
        <v>61261.258904089773</v>
      </c>
    </row>
    <row r="9" spans="1:9" x14ac:dyDescent="0.3">
      <c r="A9" s="6" t="s">
        <v>62</v>
      </c>
      <c r="B9" s="30">
        <f>B10/B8</f>
        <v>0.30729691040051482</v>
      </c>
      <c r="C9" s="30">
        <f t="shared" ref="C9:D9" si="4">C10/C8</f>
        <v>0.35581447266837274</v>
      </c>
      <c r="D9" s="30">
        <f t="shared" si="4"/>
        <v>0.31803224794481094</v>
      </c>
      <c r="E9" s="30">
        <f>AVERAGE(B9:D9)</f>
        <v>0.32704787700456617</v>
      </c>
      <c r="F9" s="30">
        <f t="shared" ref="F9:I9" si="5">AVERAGE(C9:E9)</f>
        <v>0.33363153253924999</v>
      </c>
      <c r="G9" s="30">
        <f t="shared" si="5"/>
        <v>0.32623721916287574</v>
      </c>
      <c r="H9" s="30">
        <f t="shared" si="5"/>
        <v>0.32897220956889733</v>
      </c>
      <c r="I9" s="30">
        <f t="shared" si="5"/>
        <v>0.32961365375700774</v>
      </c>
    </row>
    <row r="10" spans="1:9" x14ac:dyDescent="0.3">
      <c r="A10" s="6" t="s">
        <v>47</v>
      </c>
      <c r="B10" s="44">
        <f>Operating_Costs!B17</f>
        <v>24860.36</v>
      </c>
      <c r="C10" s="44">
        <f>Operating_Costs!C17</f>
        <v>27270.13</v>
      </c>
      <c r="D10" s="44">
        <f>Operating_Costs!D17</f>
        <v>23256</v>
      </c>
      <c r="E10" s="44">
        <f>E8*E9</f>
        <v>21276.969585884886</v>
      </c>
      <c r="F10" s="44">
        <f t="shared" ref="F10:I10" si="6">F8*F9</f>
        <v>19620.550055115116</v>
      </c>
      <c r="G10" s="44">
        <f t="shared" si="6"/>
        <v>18646.828572570932</v>
      </c>
      <c r="H10" s="44">
        <f t="shared" si="6"/>
        <v>19264.853538055238</v>
      </c>
      <c r="I10" s="44">
        <f t="shared" si="6"/>
        <v>20192.547381131055</v>
      </c>
    </row>
    <row r="11" spans="1:9" x14ac:dyDescent="0.3">
      <c r="A11" s="6"/>
      <c r="B11" s="6"/>
      <c r="C11" s="6"/>
      <c r="D11" s="6"/>
      <c r="E11" s="6"/>
      <c r="F11" s="6"/>
      <c r="G11" s="6"/>
      <c r="H11" s="6"/>
      <c r="I11" s="6"/>
    </row>
    <row r="12" spans="1:9" x14ac:dyDescent="0.3">
      <c r="A12" s="6" t="s">
        <v>63</v>
      </c>
      <c r="B12" s="27">
        <f>B8+B6-B10</f>
        <v>64532.400000000009</v>
      </c>
      <c r="C12" s="27">
        <f t="shared" ref="C12:I12" si="7">C8+C6-C10</f>
        <v>62346.039999999994</v>
      </c>
      <c r="D12" s="27">
        <f t="shared" si="7"/>
        <v>65057.66</v>
      </c>
      <c r="E12" s="27">
        <f t="shared" si="7"/>
        <v>58809.039738493128</v>
      </c>
      <c r="F12" s="27">
        <f t="shared" si="7"/>
        <v>57157.269242358889</v>
      </c>
      <c r="G12" s="27">
        <f t="shared" si="7"/>
        <v>58560.732419619657</v>
      </c>
      <c r="H12" s="27">
        <f t="shared" si="7"/>
        <v>61261.258904089773</v>
      </c>
      <c r="I12" s="27">
        <f t="shared" si="7"/>
        <v>65988.459000486095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D60B-FC09-4AAF-A45B-54427880D39F}">
  <dimension ref="A1:I10"/>
  <sheetViews>
    <sheetView workbookViewId="0">
      <selection activeCell="F19" sqref="F19"/>
    </sheetView>
  </sheetViews>
  <sheetFormatPr defaultRowHeight="14.4" x14ac:dyDescent="0.3"/>
  <cols>
    <col min="1" max="1" width="14.5546875" bestFit="1" customWidth="1"/>
    <col min="2" max="9" width="10.88671875" bestFit="1" customWidth="1"/>
  </cols>
  <sheetData>
    <row r="1" spans="1:9" x14ac:dyDescent="0.3">
      <c r="A1" s="1" t="s">
        <v>64</v>
      </c>
      <c r="B1" s="21" t="s">
        <v>26</v>
      </c>
      <c r="C1" s="21" t="s">
        <v>27</v>
      </c>
      <c r="D1" s="21" t="s">
        <v>28</v>
      </c>
      <c r="E1" s="21" t="s">
        <v>29</v>
      </c>
      <c r="F1" s="21" t="s">
        <v>30</v>
      </c>
      <c r="G1" s="21" t="s">
        <v>31</v>
      </c>
      <c r="H1" s="21" t="s">
        <v>32</v>
      </c>
      <c r="I1" s="21" t="s">
        <v>33</v>
      </c>
    </row>
    <row r="3" spans="1:9" x14ac:dyDescent="0.3">
      <c r="A3" s="6" t="s">
        <v>65</v>
      </c>
      <c r="B3" s="27">
        <f>97759.17+41917.87</f>
        <v>139677.04</v>
      </c>
      <c r="C3" s="27">
        <f>88695.81+36964.66</f>
        <v>125660.47</v>
      </c>
      <c r="D3" s="27">
        <f>62148.53+36351.56</f>
        <v>98500.09</v>
      </c>
      <c r="E3" s="27">
        <f t="shared" ref="E3:I3" si="0">D6</f>
        <v>72991.88</v>
      </c>
      <c r="F3" s="27">
        <f t="shared" si="0"/>
        <v>72991.88</v>
      </c>
      <c r="G3" s="27">
        <f t="shared" si="0"/>
        <v>72991.88</v>
      </c>
      <c r="H3" s="27">
        <f t="shared" si="0"/>
        <v>72991.88</v>
      </c>
      <c r="I3" s="27">
        <f t="shared" si="0"/>
        <v>72991.88</v>
      </c>
    </row>
    <row r="4" spans="1:9" x14ac:dyDescent="0.3">
      <c r="A4" s="6" t="s">
        <v>66</v>
      </c>
      <c r="B4" s="27">
        <f>31308.62+16866.24</f>
        <v>48174.86</v>
      </c>
      <c r="C4" s="27">
        <f>16315.06+28125.45</f>
        <v>44440.51</v>
      </c>
      <c r="D4" s="27">
        <f>11629.4+10194.1</f>
        <v>21823.5</v>
      </c>
      <c r="E4" s="27"/>
      <c r="F4" s="27"/>
      <c r="G4" s="27"/>
      <c r="H4" s="27"/>
      <c r="I4" s="27"/>
    </row>
    <row r="5" spans="1:9" x14ac:dyDescent="0.3">
      <c r="A5" s="6" t="s">
        <v>67</v>
      </c>
      <c r="B5" s="27">
        <f>23355.8+19460.45</f>
        <v>42816.25</v>
      </c>
      <c r="C5" s="27">
        <f>31559.46+30997.82</f>
        <v>62557.279999999999</v>
      </c>
      <c r="D5" s="27">
        <f>31675.2+15656.51</f>
        <v>47331.71</v>
      </c>
      <c r="E5" s="27"/>
      <c r="F5" s="27"/>
      <c r="G5" s="27"/>
      <c r="H5" s="27"/>
      <c r="I5" s="27"/>
    </row>
    <row r="6" spans="1:9" x14ac:dyDescent="0.3">
      <c r="A6" s="6" t="s">
        <v>68</v>
      </c>
      <c r="B6" s="44">
        <f>B3+B4-B5</f>
        <v>145035.65000000002</v>
      </c>
      <c r="C6" s="44">
        <f t="shared" ref="C6:I6" si="1">C3+C4-C5</f>
        <v>107543.70000000001</v>
      </c>
      <c r="D6" s="44">
        <f t="shared" si="1"/>
        <v>72991.88</v>
      </c>
      <c r="E6" s="44">
        <f t="shared" si="1"/>
        <v>72991.88</v>
      </c>
      <c r="F6" s="44">
        <f t="shared" si="1"/>
        <v>72991.88</v>
      </c>
      <c r="G6" s="44">
        <f t="shared" si="1"/>
        <v>72991.88</v>
      </c>
      <c r="H6" s="44">
        <f t="shared" si="1"/>
        <v>72991.88</v>
      </c>
      <c r="I6" s="44">
        <f t="shared" si="1"/>
        <v>72991.88</v>
      </c>
    </row>
    <row r="7" spans="1:9" x14ac:dyDescent="0.3">
      <c r="A7" s="6"/>
      <c r="B7" s="6"/>
      <c r="C7" s="6"/>
      <c r="D7" s="6"/>
      <c r="E7" s="6"/>
      <c r="F7" s="6"/>
      <c r="G7" s="6"/>
      <c r="H7" s="6"/>
      <c r="I7" s="6"/>
    </row>
    <row r="8" spans="1:9" x14ac:dyDescent="0.3">
      <c r="A8" s="6" t="s">
        <v>69</v>
      </c>
      <c r="B8" s="43">
        <f>AVERAGE(B3,B6)</f>
        <v>142356.34500000003</v>
      </c>
      <c r="C8" s="43">
        <f t="shared" ref="C8:I8" si="2">AVERAGE(C3,C6)</f>
        <v>116602.08500000001</v>
      </c>
      <c r="D8" s="43">
        <f t="shared" si="2"/>
        <v>85745.985000000001</v>
      </c>
      <c r="E8" s="43">
        <f t="shared" si="2"/>
        <v>72991.88</v>
      </c>
      <c r="F8" s="43">
        <f t="shared" si="2"/>
        <v>72991.88</v>
      </c>
      <c r="G8" s="43">
        <f t="shared" si="2"/>
        <v>72991.88</v>
      </c>
      <c r="H8" s="43">
        <f t="shared" si="2"/>
        <v>72991.88</v>
      </c>
      <c r="I8" s="43">
        <f t="shared" si="2"/>
        <v>72991.88</v>
      </c>
    </row>
    <row r="9" spans="1:9" x14ac:dyDescent="0.3">
      <c r="A9" s="6" t="s">
        <v>70</v>
      </c>
      <c r="B9" s="42">
        <f>B10/B8</f>
        <v>7.1830166755124242E-2</v>
      </c>
      <c r="C9" s="42">
        <f t="shared" ref="C9:D9" si="3">C10/C8</f>
        <v>6.512748035337447E-2</v>
      </c>
      <c r="D9" s="42">
        <f t="shared" si="3"/>
        <v>5.9279743535513643E-2</v>
      </c>
      <c r="E9" s="42">
        <f>Assumptions!$B$13</f>
        <v>8.5000000000000006E-2</v>
      </c>
      <c r="F9" s="42">
        <f>Assumptions!$B$13</f>
        <v>8.5000000000000006E-2</v>
      </c>
      <c r="G9" s="42">
        <f>Assumptions!$B$13</f>
        <v>8.5000000000000006E-2</v>
      </c>
      <c r="H9" s="42">
        <f>Assumptions!$B$13</f>
        <v>8.5000000000000006E-2</v>
      </c>
      <c r="I9" s="42">
        <f>Assumptions!$B$13</f>
        <v>8.5000000000000006E-2</v>
      </c>
    </row>
    <row r="10" spans="1:9" s="23" customFormat="1" x14ac:dyDescent="0.3">
      <c r="A10" s="6" t="s">
        <v>71</v>
      </c>
      <c r="B10" s="27">
        <v>10225.48</v>
      </c>
      <c r="C10" s="27">
        <v>7594</v>
      </c>
      <c r="D10" s="27">
        <v>5083</v>
      </c>
      <c r="E10" s="27">
        <f>E8*E9</f>
        <v>6204.3098000000009</v>
      </c>
      <c r="F10" s="27">
        <f t="shared" ref="F10:I10" si="4">F8*F9</f>
        <v>6204.3098000000009</v>
      </c>
      <c r="G10" s="27">
        <f t="shared" si="4"/>
        <v>6204.3098000000009</v>
      </c>
      <c r="H10" s="27">
        <f t="shared" si="4"/>
        <v>6204.3098000000009</v>
      </c>
      <c r="I10" s="27">
        <f t="shared" si="4"/>
        <v>6204.3098000000009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5A8C5-4DB6-42C8-9852-ED2587CAF460}">
  <dimension ref="A1:I19"/>
  <sheetViews>
    <sheetView workbookViewId="0">
      <selection activeCell="B1" sqref="B1:I1"/>
    </sheetView>
  </sheetViews>
  <sheetFormatPr defaultRowHeight="14.4" x14ac:dyDescent="0.3"/>
  <cols>
    <col min="1" max="1" width="16.6640625" bestFit="1" customWidth="1"/>
    <col min="2" max="9" width="10.88671875" bestFit="1" customWidth="1"/>
  </cols>
  <sheetData>
    <row r="1" spans="1:9" x14ac:dyDescent="0.3">
      <c r="A1" s="1" t="s">
        <v>72</v>
      </c>
      <c r="B1" s="21" t="s">
        <v>26</v>
      </c>
      <c r="C1" s="21" t="s">
        <v>27</v>
      </c>
      <c r="D1" s="21" t="s">
        <v>28</v>
      </c>
      <c r="E1" s="21" t="s">
        <v>29</v>
      </c>
      <c r="F1" s="21" t="s">
        <v>30</v>
      </c>
      <c r="G1" s="21" t="s">
        <v>31</v>
      </c>
      <c r="H1" s="21" t="s">
        <v>32</v>
      </c>
      <c r="I1" s="21" t="s">
        <v>33</v>
      </c>
    </row>
    <row r="3" spans="1:9" x14ac:dyDescent="0.3">
      <c r="A3" s="6" t="s">
        <v>37</v>
      </c>
      <c r="B3" s="41">
        <f>Revenue_Drivers!B7</f>
        <v>345966.97</v>
      </c>
      <c r="C3" s="41">
        <f>Revenue_Drivers!C7</f>
        <v>434016</v>
      </c>
      <c r="D3" s="41">
        <f>Revenue_Drivers!D7</f>
        <v>439695</v>
      </c>
      <c r="E3" s="41">
        <f>Revenue_Drivers!E7</f>
        <v>506650.25879317516</v>
      </c>
      <c r="F3" s="41">
        <f>Revenue_Drivers!F7</f>
        <v>572855.02408512682</v>
      </c>
      <c r="G3" s="41">
        <f>Revenue_Drivers!G7</f>
        <v>629366.79691722267</v>
      </c>
      <c r="H3" s="41">
        <f>Revenue_Drivers!H7</f>
        <v>709421.7236698661</v>
      </c>
      <c r="I3" s="41">
        <f>Revenue_Drivers!I7</f>
        <v>793729.40949952917</v>
      </c>
    </row>
    <row r="4" spans="1:9" x14ac:dyDescent="0.3">
      <c r="A4" s="6" t="s">
        <v>40</v>
      </c>
      <c r="B4" s="41">
        <f>Working_Capital!B4</f>
        <v>226469.64</v>
      </c>
      <c r="C4" s="41">
        <f>Working_Capital!C4</f>
        <v>272755.69999999995</v>
      </c>
      <c r="D4" s="41">
        <f>Working_Capital!D4</f>
        <v>271786</v>
      </c>
      <c r="E4" s="41">
        <f>Working_Capital!E4</f>
        <v>321075.94467346341</v>
      </c>
      <c r="F4" s="41">
        <f>Working_Capital!F4</f>
        <v>359045.12743252027</v>
      </c>
      <c r="G4" s="41">
        <f>Working_Capital!G4</f>
        <v>394111.87093839399</v>
      </c>
      <c r="H4" s="41">
        <f>Working_Capital!H4</f>
        <v>446153.24499887641</v>
      </c>
      <c r="I4" s="41">
        <f>Working_Capital!I4</f>
        <v>497897.26298910251</v>
      </c>
    </row>
    <row r="5" spans="1:9" x14ac:dyDescent="0.3">
      <c r="A5" s="6" t="s">
        <v>73</v>
      </c>
      <c r="B5" s="43">
        <f>B3-B4</f>
        <v>119497.32999999996</v>
      </c>
      <c r="C5" s="43">
        <f t="shared" ref="C5:I5" si="0">C3-C4</f>
        <v>161260.30000000005</v>
      </c>
      <c r="D5" s="43">
        <f t="shared" si="0"/>
        <v>167909</v>
      </c>
      <c r="E5" s="43">
        <f t="shared" si="0"/>
        <v>185574.31411971175</v>
      </c>
      <c r="F5" s="43">
        <f t="shared" si="0"/>
        <v>213809.89665260655</v>
      </c>
      <c r="G5" s="43">
        <f t="shared" si="0"/>
        <v>235254.92597882869</v>
      </c>
      <c r="H5" s="43">
        <f t="shared" si="0"/>
        <v>263268.47867098969</v>
      </c>
      <c r="I5" s="43">
        <f t="shared" si="0"/>
        <v>295832.14651042665</v>
      </c>
    </row>
    <row r="6" spans="1:9" x14ac:dyDescent="0.3">
      <c r="A6" s="6"/>
      <c r="B6" s="6"/>
      <c r="C6" s="6"/>
      <c r="D6" s="6"/>
      <c r="E6" s="6"/>
      <c r="F6" s="6"/>
      <c r="G6" s="6"/>
      <c r="H6" s="6"/>
      <c r="I6" s="6"/>
    </row>
    <row r="7" spans="1:9" x14ac:dyDescent="0.3">
      <c r="A7" s="6" t="s">
        <v>42</v>
      </c>
      <c r="B7" s="41">
        <f>Operating_Costs!B9</f>
        <v>33654.699999999997</v>
      </c>
      <c r="C7" s="41">
        <f>Operating_Costs!C9</f>
        <v>41990</v>
      </c>
      <c r="D7" s="41">
        <f>Operating_Costs!D9</f>
        <v>47767</v>
      </c>
      <c r="E7" s="41">
        <f>Operating_Costs!E9</f>
        <v>51114.502233040075</v>
      </c>
      <c r="F7" s="41">
        <f>Operating_Costs!F9</f>
        <v>58483.038088202571</v>
      </c>
      <c r="G7" s="41">
        <f>Operating_Costs!G9</f>
        <v>65373.229343407824</v>
      </c>
      <c r="H7" s="41">
        <f>Operating_Costs!H9</f>
        <v>72561.794547018566</v>
      </c>
      <c r="I7" s="41">
        <f>Operating_Costs!I9</f>
        <v>81554.351909546487</v>
      </c>
    </row>
    <row r="8" spans="1:9" x14ac:dyDescent="0.3">
      <c r="A8" s="6" t="s">
        <v>44</v>
      </c>
      <c r="B8" s="41">
        <f>Operating_Costs!B12</f>
        <v>61785.96</v>
      </c>
      <c r="C8" s="41">
        <f>Operating_Costs!C12</f>
        <v>77198</v>
      </c>
      <c r="D8" s="41">
        <f>Operating_Costs!D12</f>
        <v>85399</v>
      </c>
      <c r="E8" s="41">
        <f>Operating_Costs!E12</f>
        <v>93000.970495886053</v>
      </c>
      <c r="F8" s="41">
        <f>Operating_Costs!F12</f>
        <v>106102.82860405755</v>
      </c>
      <c r="G8" s="41">
        <f>Operating_Costs!G12</f>
        <v>118111.45266612536</v>
      </c>
      <c r="H8" s="41">
        <f>Operating_Costs!H12</f>
        <v>131584.77140630869</v>
      </c>
      <c r="I8" s="41">
        <f>Operating_Costs!I12</f>
        <v>147730.62271753838</v>
      </c>
    </row>
    <row r="9" spans="1:9" x14ac:dyDescent="0.3">
      <c r="A9" s="6"/>
      <c r="B9" s="6"/>
      <c r="C9" s="6"/>
      <c r="D9" s="6"/>
      <c r="E9" s="6"/>
      <c r="F9" s="6"/>
      <c r="G9" s="6"/>
      <c r="H9" s="6"/>
      <c r="I9" s="6"/>
    </row>
    <row r="10" spans="1:9" x14ac:dyDescent="0.3">
      <c r="A10" s="6" t="s">
        <v>45</v>
      </c>
      <c r="B10" s="41">
        <f>Operating_Costs!B14</f>
        <v>24056.669999999962</v>
      </c>
      <c r="C10" s="41">
        <f>Operating_Costs!C14</f>
        <v>42072.300000000047</v>
      </c>
      <c r="D10" s="41">
        <f>Operating_Costs!D14</f>
        <v>34743</v>
      </c>
      <c r="E10" s="41">
        <f>Operating_Costs!E14</f>
        <v>41458.841390785616</v>
      </c>
      <c r="F10" s="41">
        <f>Operating_Costs!F14</f>
        <v>49224.029960346437</v>
      </c>
      <c r="G10" s="41">
        <f>Operating_Costs!G14</f>
        <v>51770.243969295509</v>
      </c>
      <c r="H10" s="41">
        <f>Operating_Costs!H14</f>
        <v>59121.912717662432</v>
      </c>
      <c r="I10" s="41">
        <f>Operating_Costs!I14</f>
        <v>66547.171883341798</v>
      </c>
    </row>
    <row r="11" spans="1:9" x14ac:dyDescent="0.3">
      <c r="A11" s="6"/>
      <c r="B11" s="6"/>
      <c r="C11" s="6"/>
      <c r="D11" s="6"/>
      <c r="E11" s="6"/>
      <c r="F11" s="6"/>
      <c r="G11" s="6"/>
      <c r="H11" s="6"/>
      <c r="I11" s="6"/>
    </row>
    <row r="12" spans="1:9" x14ac:dyDescent="0.3">
      <c r="A12" s="6" t="s">
        <v>47</v>
      </c>
      <c r="B12" s="41">
        <f>Capex_Depreciation!B10</f>
        <v>24860.36</v>
      </c>
      <c r="C12" s="41">
        <f>Capex_Depreciation!C10</f>
        <v>27270.13</v>
      </c>
      <c r="D12" s="41">
        <f>Capex_Depreciation!D10</f>
        <v>23256</v>
      </c>
      <c r="E12" s="41">
        <f>Capex_Depreciation!E10</f>
        <v>21276.969585884886</v>
      </c>
      <c r="F12" s="41">
        <f>Capex_Depreciation!F10</f>
        <v>19620.550055115116</v>
      </c>
      <c r="G12" s="41">
        <f>Capex_Depreciation!G10</f>
        <v>18646.828572570932</v>
      </c>
      <c r="H12" s="41">
        <f>Capex_Depreciation!H10</f>
        <v>19264.853538055238</v>
      </c>
      <c r="I12" s="41">
        <f>Capex_Depreciation!I10</f>
        <v>20192.547381131055</v>
      </c>
    </row>
    <row r="13" spans="1:9" x14ac:dyDescent="0.3">
      <c r="A13" s="6" t="s">
        <v>48</v>
      </c>
      <c r="B13" s="43">
        <f>B10-B12</f>
        <v>-803.69000000003871</v>
      </c>
      <c r="C13" s="43">
        <f t="shared" ref="C13:I13" si="1">C10-C12</f>
        <v>14802.170000000046</v>
      </c>
      <c r="D13" s="43">
        <f t="shared" si="1"/>
        <v>11487</v>
      </c>
      <c r="E13" s="43">
        <f t="shared" si="1"/>
        <v>20181.871804900729</v>
      </c>
      <c r="F13" s="43">
        <f t="shared" si="1"/>
        <v>29603.479905231321</v>
      </c>
      <c r="G13" s="43">
        <f t="shared" si="1"/>
        <v>33123.41539672458</v>
      </c>
      <c r="H13" s="43">
        <f t="shared" si="1"/>
        <v>39857.059179607197</v>
      </c>
      <c r="I13" s="43">
        <f t="shared" si="1"/>
        <v>46354.624502210747</v>
      </c>
    </row>
    <row r="14" spans="1:9" x14ac:dyDescent="0.3">
      <c r="A14" s="6"/>
      <c r="B14" s="6"/>
      <c r="C14" s="6"/>
      <c r="D14" s="6"/>
      <c r="E14" s="6"/>
      <c r="F14" s="6"/>
      <c r="G14" s="6"/>
      <c r="H14" s="6"/>
      <c r="I14" s="6"/>
    </row>
    <row r="15" spans="1:9" x14ac:dyDescent="0.3">
      <c r="A15" s="6" t="s">
        <v>74</v>
      </c>
      <c r="B15" s="41">
        <f>Debt_Interest!B10</f>
        <v>10225.48</v>
      </c>
      <c r="C15" s="41">
        <f>Debt_Interest!C10</f>
        <v>7594</v>
      </c>
      <c r="D15" s="41">
        <f>Debt_Interest!D10</f>
        <v>5083</v>
      </c>
      <c r="E15" s="41">
        <f>Debt_Interest!E10</f>
        <v>6204.3098000000009</v>
      </c>
      <c r="F15" s="41">
        <f>Debt_Interest!F10</f>
        <v>6204.3098000000009</v>
      </c>
      <c r="G15" s="41">
        <f>Debt_Interest!G10</f>
        <v>6204.3098000000009</v>
      </c>
      <c r="H15" s="41">
        <f>Debt_Interest!H10</f>
        <v>6204.3098000000009</v>
      </c>
      <c r="I15" s="41">
        <f>Debt_Interest!I10</f>
        <v>6204.3098000000009</v>
      </c>
    </row>
    <row r="16" spans="1:9" x14ac:dyDescent="0.3">
      <c r="A16" s="6" t="s">
        <v>75</v>
      </c>
      <c r="B16" s="43">
        <f>B13-B15</f>
        <v>-11029.170000000038</v>
      </c>
      <c r="C16" s="43">
        <f t="shared" ref="C16:I16" si="2">C13-C15</f>
        <v>7208.1700000000455</v>
      </c>
      <c r="D16" s="43">
        <f t="shared" si="2"/>
        <v>6404</v>
      </c>
      <c r="E16" s="43">
        <f t="shared" si="2"/>
        <v>13977.562004900728</v>
      </c>
      <c r="F16" s="43">
        <f t="shared" si="2"/>
        <v>23399.170105231322</v>
      </c>
      <c r="G16" s="43">
        <f t="shared" si="2"/>
        <v>26919.105596724577</v>
      </c>
      <c r="H16" s="43">
        <f t="shared" si="2"/>
        <v>33652.749379607194</v>
      </c>
      <c r="I16" s="43">
        <f t="shared" si="2"/>
        <v>40150.314702210744</v>
      </c>
    </row>
    <row r="17" spans="1:9" x14ac:dyDescent="0.3">
      <c r="A17" s="6"/>
      <c r="B17" s="6"/>
      <c r="C17" s="6"/>
      <c r="D17" s="6"/>
      <c r="E17" s="6"/>
      <c r="F17" s="6"/>
      <c r="G17" s="6"/>
      <c r="H17" s="6"/>
      <c r="I17" s="6"/>
    </row>
    <row r="18" spans="1:9" x14ac:dyDescent="0.3">
      <c r="A18" s="6" t="s">
        <v>76</v>
      </c>
      <c r="B18" s="44">
        <v>0</v>
      </c>
      <c r="C18" s="43">
        <f>C16*(1-Assumptions!$B$6)</f>
        <v>5406.1275000000342</v>
      </c>
      <c r="D18" s="43">
        <f>D16*(1-Assumptions!$B$6)</f>
        <v>4803</v>
      </c>
      <c r="E18" s="43">
        <f>E16*(1-Assumptions!$B$6)</f>
        <v>10483.171503675547</v>
      </c>
      <c r="F18" s="43">
        <f>F16*(1-Assumptions!$B$6)</f>
        <v>17549.377578923493</v>
      </c>
      <c r="G18" s="43">
        <f>G16*(1-Assumptions!$B$6)</f>
        <v>20189.329197543433</v>
      </c>
      <c r="H18" s="43">
        <f>H16*(1-Assumptions!$B$6)</f>
        <v>25239.562034705395</v>
      </c>
      <c r="I18" s="43">
        <f>I16*(1-Assumptions!$B$6)</f>
        <v>30112.736026658058</v>
      </c>
    </row>
    <row r="19" spans="1:9" x14ac:dyDescent="0.3">
      <c r="A19" s="6" t="s">
        <v>77</v>
      </c>
      <c r="B19" s="43">
        <f>B16-B18</f>
        <v>-11029.170000000038</v>
      </c>
      <c r="C19" s="43">
        <f t="shared" ref="C19:I19" si="3">C16-C18</f>
        <v>1802.0425000000114</v>
      </c>
      <c r="D19" s="43">
        <f t="shared" si="3"/>
        <v>1601</v>
      </c>
      <c r="E19" s="43">
        <f t="shared" si="3"/>
        <v>3494.3905012251817</v>
      </c>
      <c r="F19" s="43">
        <f t="shared" si="3"/>
        <v>5849.7925263078287</v>
      </c>
      <c r="G19" s="43">
        <f t="shared" si="3"/>
        <v>6729.7763991811444</v>
      </c>
      <c r="H19" s="43">
        <f t="shared" si="3"/>
        <v>8413.1873449017985</v>
      </c>
      <c r="I19" s="43">
        <f t="shared" si="3"/>
        <v>10037.578675552686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74C8-7008-41C3-A68F-7C3CF1BFEB76}">
  <dimension ref="A1:I25"/>
  <sheetViews>
    <sheetView workbookViewId="0">
      <selection activeCell="I3" sqref="I3"/>
    </sheetView>
  </sheetViews>
  <sheetFormatPr defaultRowHeight="14.4" x14ac:dyDescent="0.3"/>
  <cols>
    <col min="1" max="1" width="21.33203125" bestFit="1" customWidth="1"/>
    <col min="2" max="9" width="10.88671875" style="22" bestFit="1" customWidth="1"/>
    <col min="10" max="16384" width="8.88671875" style="22"/>
  </cols>
  <sheetData>
    <row r="1" spans="1:9" customFormat="1" x14ac:dyDescent="0.3">
      <c r="A1" s="1" t="s">
        <v>78</v>
      </c>
      <c r="B1" s="21" t="s">
        <v>26</v>
      </c>
      <c r="C1" s="21" t="s">
        <v>27</v>
      </c>
      <c r="D1" s="21" t="s">
        <v>28</v>
      </c>
      <c r="E1" s="21" t="s">
        <v>29</v>
      </c>
      <c r="F1" s="21" t="s">
        <v>30</v>
      </c>
      <c r="G1" s="21" t="s">
        <v>31</v>
      </c>
      <c r="H1" s="21" t="s">
        <v>32</v>
      </c>
      <c r="I1" s="21" t="s">
        <v>33</v>
      </c>
    </row>
    <row r="2" spans="1:9" customFormat="1" x14ac:dyDescent="0.3"/>
    <row r="3" spans="1:9" x14ac:dyDescent="0.3">
      <c r="A3" s="6" t="s">
        <v>79</v>
      </c>
      <c r="B3" s="27">
        <f>31886.95+5128.61</f>
        <v>37015.56</v>
      </c>
      <c r="C3" s="27">
        <f>40014.76+5791.93</f>
        <v>45806.69</v>
      </c>
      <c r="D3" s="27">
        <f>34349+6485</f>
        <v>40834</v>
      </c>
      <c r="E3" s="44">
        <f>Cash_Flow!E17</f>
        <v>79802.794503295445</v>
      </c>
      <c r="F3" s="44">
        <f>Cash_Flow!F17</f>
        <v>119379.9391157151</v>
      </c>
      <c r="G3" s="44">
        <f>Cash_Flow!G17</f>
        <v>161510.28768428197</v>
      </c>
      <c r="H3" s="44">
        <f>Cash_Flow!H17</f>
        <v>206483.79809676978</v>
      </c>
      <c r="I3" s="44">
        <f>Cash_Flow!I17</f>
        <v>256715.68141268328</v>
      </c>
    </row>
    <row r="4" spans="1:9" x14ac:dyDescent="0.3">
      <c r="A4" s="6" t="s">
        <v>51</v>
      </c>
      <c r="B4" s="47">
        <f>Working_Capital!B7</f>
        <v>15737.97</v>
      </c>
      <c r="C4" s="47">
        <f>Working_Capital!C7</f>
        <v>16951.810000000001</v>
      </c>
      <c r="D4" s="47">
        <f>Working_Capital!D7</f>
        <v>13248</v>
      </c>
      <c r="E4" s="47">
        <f>Working_Capital!E7</f>
        <v>15265.360371375577</v>
      </c>
      <c r="F4" s="47">
        <f>Working_Capital!F7</f>
        <v>17260.108391225189</v>
      </c>
      <c r="G4" s="47">
        <f>Working_Capital!G7</f>
        <v>18962.806776423124</v>
      </c>
      <c r="H4" s="47">
        <f>Working_Capital!H7</f>
        <v>21374.85983506382</v>
      </c>
      <c r="I4" s="47">
        <f>Working_Capital!I7</f>
        <v>23915.048424589229</v>
      </c>
    </row>
    <row r="5" spans="1:9" x14ac:dyDescent="0.3">
      <c r="A5" s="6" t="s">
        <v>53</v>
      </c>
      <c r="B5" s="47">
        <f>Working_Capital!B10</f>
        <v>40755.39</v>
      </c>
      <c r="C5" s="47">
        <f>Working_Capital!C10</f>
        <v>47788.29</v>
      </c>
      <c r="D5" s="47">
        <f>Working_Capital!D10</f>
        <v>47269</v>
      </c>
      <c r="E5" s="47">
        <f>Working_Capital!E10</f>
        <v>47269</v>
      </c>
      <c r="F5" s="47">
        <f>Working_Capital!F10</f>
        <v>55841.503347376027</v>
      </c>
      <c r="G5" s="47">
        <f>Working_Capital!G10</f>
        <v>62445.100662314471</v>
      </c>
      <c r="H5" s="47">
        <f>Working_Capital!H10</f>
        <v>68543.905967882616</v>
      </c>
      <c r="I5" s="47">
        <f>Working_Capital!I10</f>
        <v>77594.937700440394</v>
      </c>
    </row>
    <row r="6" spans="1:9" x14ac:dyDescent="0.3">
      <c r="A6" s="6" t="s">
        <v>80</v>
      </c>
      <c r="B6" s="27">
        <v>9587.33</v>
      </c>
      <c r="C6" s="27">
        <v>10429.379999999999</v>
      </c>
      <c r="D6" s="27">
        <v>11794</v>
      </c>
      <c r="E6" s="44">
        <f>D6</f>
        <v>11794</v>
      </c>
      <c r="F6" s="44">
        <f t="shared" ref="F6:I6" si="0">E6</f>
        <v>11794</v>
      </c>
      <c r="G6" s="44">
        <f t="shared" si="0"/>
        <v>11794</v>
      </c>
      <c r="H6" s="44">
        <f t="shared" si="0"/>
        <v>11794</v>
      </c>
      <c r="I6" s="44">
        <f t="shared" si="0"/>
        <v>11794</v>
      </c>
    </row>
    <row r="7" spans="1:9" x14ac:dyDescent="0.3">
      <c r="A7" s="5" t="s">
        <v>81</v>
      </c>
      <c r="B7" s="48">
        <f>B3+B4+B5+B6</f>
        <v>103096.25</v>
      </c>
      <c r="C7" s="48">
        <f t="shared" ref="C7:I7" si="1">C3+C4+C5+C6</f>
        <v>120976.17000000001</v>
      </c>
      <c r="D7" s="48">
        <f t="shared" si="1"/>
        <v>113145</v>
      </c>
      <c r="E7" s="48">
        <f t="shared" si="1"/>
        <v>154131.15487467102</v>
      </c>
      <c r="F7" s="48">
        <f t="shared" si="1"/>
        <v>204275.55085431633</v>
      </c>
      <c r="G7" s="48">
        <f t="shared" si="1"/>
        <v>254712.19512301957</v>
      </c>
      <c r="H7" s="48">
        <f t="shared" si="1"/>
        <v>308196.56389971619</v>
      </c>
      <c r="I7" s="48">
        <f t="shared" si="1"/>
        <v>370019.6675377129</v>
      </c>
    </row>
    <row r="8" spans="1:9" x14ac:dyDescent="0.3">
      <c r="A8" s="6"/>
      <c r="B8" s="44"/>
      <c r="C8" s="44"/>
      <c r="D8" s="44"/>
      <c r="E8" s="44"/>
      <c r="F8" s="44"/>
      <c r="G8" s="44"/>
      <c r="H8" s="44"/>
      <c r="I8" s="44"/>
    </row>
    <row r="9" spans="1:9" x14ac:dyDescent="0.3">
      <c r="A9" s="6" t="s">
        <v>82</v>
      </c>
      <c r="B9" s="47">
        <f>Capex_Depreciation!B12</f>
        <v>64532.400000000009</v>
      </c>
      <c r="C9" s="47">
        <f>Capex_Depreciation!C12</f>
        <v>62346.039999999994</v>
      </c>
      <c r="D9" s="47">
        <f>Capex_Depreciation!D12</f>
        <v>65057.66</v>
      </c>
      <c r="E9" s="47">
        <f>Capex_Depreciation!E12</f>
        <v>58809.039738493128</v>
      </c>
      <c r="F9" s="47">
        <f>Capex_Depreciation!F12</f>
        <v>57157.269242358889</v>
      </c>
      <c r="G9" s="47">
        <f>Capex_Depreciation!G12</f>
        <v>58560.732419619657</v>
      </c>
      <c r="H9" s="47">
        <f>Capex_Depreciation!H12</f>
        <v>61261.258904089773</v>
      </c>
      <c r="I9" s="47">
        <f>Capex_Depreciation!I12</f>
        <v>65988.459000486095</v>
      </c>
    </row>
    <row r="10" spans="1:9" x14ac:dyDescent="0.3">
      <c r="A10" s="6" t="s">
        <v>83</v>
      </c>
      <c r="B10" s="27">
        <v>8602.0499999999993</v>
      </c>
      <c r="C10" s="27">
        <v>5720.44</v>
      </c>
      <c r="D10" s="27">
        <v>6852</v>
      </c>
      <c r="E10" s="44">
        <f>D10</f>
        <v>6852</v>
      </c>
      <c r="F10" s="44">
        <f t="shared" ref="F10:I10" si="2">E10</f>
        <v>6852</v>
      </c>
      <c r="G10" s="44">
        <f t="shared" si="2"/>
        <v>6852</v>
      </c>
      <c r="H10" s="44">
        <f t="shared" si="2"/>
        <v>6852</v>
      </c>
      <c r="I10" s="44">
        <f t="shared" si="2"/>
        <v>6852</v>
      </c>
    </row>
    <row r="11" spans="1:9" x14ac:dyDescent="0.3">
      <c r="A11" s="5" t="s">
        <v>84</v>
      </c>
      <c r="B11" s="48">
        <f>B9+B10+B7</f>
        <v>176230.7</v>
      </c>
      <c r="C11" s="48">
        <f t="shared" ref="C11:I11" si="3">C9+C10+C7</f>
        <v>189042.65000000002</v>
      </c>
      <c r="D11" s="48">
        <f t="shared" si="3"/>
        <v>185054.66</v>
      </c>
      <c r="E11" s="48">
        <f t="shared" si="3"/>
        <v>219792.19461316415</v>
      </c>
      <c r="F11" s="48">
        <f t="shared" si="3"/>
        <v>268284.82009667519</v>
      </c>
      <c r="G11" s="48">
        <f t="shared" si="3"/>
        <v>320124.9275426392</v>
      </c>
      <c r="H11" s="48">
        <f t="shared" si="3"/>
        <v>376309.82280380593</v>
      </c>
      <c r="I11" s="48">
        <f t="shared" si="3"/>
        <v>442860.12653819902</v>
      </c>
    </row>
    <row r="12" spans="1:9" x14ac:dyDescent="0.3">
      <c r="A12" s="6"/>
      <c r="B12" s="44"/>
      <c r="C12" s="44"/>
      <c r="D12" s="44"/>
      <c r="E12" s="44"/>
      <c r="F12" s="44"/>
      <c r="G12" s="44"/>
      <c r="H12" s="44"/>
      <c r="I12" s="44"/>
    </row>
    <row r="13" spans="1:9" x14ac:dyDescent="0.3">
      <c r="A13" s="6" t="s">
        <v>55</v>
      </c>
      <c r="B13" s="47">
        <f>Working_Capital!B13</f>
        <v>72055.76999999999</v>
      </c>
      <c r="C13" s="47">
        <f>Working_Capital!C13</f>
        <v>88042.95</v>
      </c>
      <c r="D13" s="47">
        <f>Working_Capital!D13</f>
        <v>94078</v>
      </c>
      <c r="E13" s="47">
        <f>Working_Capital!E13</f>
        <v>111139.58306531643</v>
      </c>
      <c r="F13" s="47">
        <f>Working_Capital!F13</f>
        <v>124282.51454672663</v>
      </c>
      <c r="G13" s="47">
        <f>Working_Capital!G13</f>
        <v>136420.77441127293</v>
      </c>
      <c r="H13" s="47">
        <f>Working_Capital!H13</f>
        <v>154434.75743049418</v>
      </c>
      <c r="I13" s="47">
        <f>Working_Capital!I13</f>
        <v>172345.8114380019</v>
      </c>
    </row>
    <row r="14" spans="1:9" x14ac:dyDescent="0.3">
      <c r="A14" s="6" t="s">
        <v>85</v>
      </c>
      <c r="B14" s="27">
        <v>11033</v>
      </c>
      <c r="C14" s="27">
        <v>12990.3</v>
      </c>
      <c r="D14" s="27">
        <v>13340</v>
      </c>
      <c r="E14" s="44">
        <f>D14</f>
        <v>13340</v>
      </c>
      <c r="F14" s="44">
        <f t="shared" ref="F14:I14" si="4">E14</f>
        <v>13340</v>
      </c>
      <c r="G14" s="44">
        <f t="shared" si="4"/>
        <v>13340</v>
      </c>
      <c r="H14" s="44">
        <f t="shared" si="4"/>
        <v>13340</v>
      </c>
      <c r="I14" s="44">
        <f t="shared" si="4"/>
        <v>13340</v>
      </c>
    </row>
    <row r="15" spans="1:9" x14ac:dyDescent="0.3">
      <c r="A15" s="5" t="s">
        <v>86</v>
      </c>
      <c r="B15" s="48">
        <f>B13+B14</f>
        <v>83088.76999999999</v>
      </c>
      <c r="C15" s="48">
        <f t="shared" ref="C15:I15" si="5">C13+C14</f>
        <v>101033.25</v>
      </c>
      <c r="D15" s="48">
        <f t="shared" si="5"/>
        <v>107418</v>
      </c>
      <c r="E15" s="48">
        <f t="shared" si="5"/>
        <v>124479.58306531643</v>
      </c>
      <c r="F15" s="48">
        <f t="shared" si="5"/>
        <v>137622.51454672663</v>
      </c>
      <c r="G15" s="48">
        <f t="shared" si="5"/>
        <v>149760.77441127293</v>
      </c>
      <c r="H15" s="48">
        <f t="shared" si="5"/>
        <v>167774.75743049418</v>
      </c>
      <c r="I15" s="48">
        <f t="shared" si="5"/>
        <v>185685.8114380019</v>
      </c>
    </row>
    <row r="16" spans="1:9" x14ac:dyDescent="0.3">
      <c r="A16" s="6"/>
      <c r="B16" s="44"/>
      <c r="C16" s="44"/>
      <c r="D16" s="44"/>
      <c r="E16" s="44"/>
      <c r="F16" s="44"/>
      <c r="G16" s="44"/>
      <c r="H16" s="44"/>
      <c r="I16" s="44"/>
    </row>
    <row r="17" spans="1:9" x14ac:dyDescent="0.3">
      <c r="A17" s="6" t="s">
        <v>100</v>
      </c>
      <c r="B17" s="47">
        <f>Debt_Interest!B6</f>
        <v>145035.65000000002</v>
      </c>
      <c r="C17" s="47">
        <f>Debt_Interest!C6</f>
        <v>107543.70000000001</v>
      </c>
      <c r="D17" s="47">
        <f>Debt_Interest!D6</f>
        <v>72991.88</v>
      </c>
      <c r="E17" s="47">
        <f>E11-SUM(E13:E14,E18,E21:E22)</f>
        <v>67273.488546622539</v>
      </c>
      <c r="F17" s="47">
        <f t="shared" ref="F17:I17" si="6">F11-SUM(F13:F14,F18,F21:F22)</f>
        <v>96776.616689082206</v>
      </c>
      <c r="G17" s="47">
        <f t="shared" si="6"/>
        <v>129753.31676020764</v>
      </c>
      <c r="H17" s="47">
        <f t="shared" si="6"/>
        <v>159506.88017576985</v>
      </c>
      <c r="I17" s="47">
        <f t="shared" si="6"/>
        <v>198109.78258512725</v>
      </c>
    </row>
    <row r="18" spans="1:9" x14ac:dyDescent="0.3">
      <c r="A18" s="6" t="s">
        <v>87</v>
      </c>
      <c r="B18" s="27">
        <v>9264.2900000000009</v>
      </c>
      <c r="C18" s="27">
        <v>12234</v>
      </c>
      <c r="D18" s="27">
        <v>15376</v>
      </c>
      <c r="E18" s="44">
        <f>D18</f>
        <v>15376</v>
      </c>
      <c r="F18" s="44">
        <f t="shared" ref="F18:I18" si="7">E18</f>
        <v>15376</v>
      </c>
      <c r="G18" s="44">
        <f t="shared" si="7"/>
        <v>15376</v>
      </c>
      <c r="H18" s="44">
        <f t="shared" si="7"/>
        <v>15376</v>
      </c>
      <c r="I18" s="44">
        <f t="shared" si="7"/>
        <v>15376</v>
      </c>
    </row>
    <row r="19" spans="1:9" x14ac:dyDescent="0.3">
      <c r="A19" s="5" t="s">
        <v>88</v>
      </c>
      <c r="B19" s="48">
        <f>B15+B17+B18</f>
        <v>237388.71000000002</v>
      </c>
      <c r="C19" s="48">
        <f t="shared" ref="C19:I19" si="8">C15+C17+C18</f>
        <v>220810.95</v>
      </c>
      <c r="D19" s="48">
        <f t="shared" si="8"/>
        <v>195785.88</v>
      </c>
      <c r="E19" s="48">
        <f t="shared" si="8"/>
        <v>207129.07161193897</v>
      </c>
      <c r="F19" s="48">
        <f t="shared" si="8"/>
        <v>249775.13123580883</v>
      </c>
      <c r="G19" s="48">
        <f t="shared" si="8"/>
        <v>294890.0911714806</v>
      </c>
      <c r="H19" s="48">
        <f t="shared" si="8"/>
        <v>342657.63760626403</v>
      </c>
      <c r="I19" s="48">
        <f t="shared" si="8"/>
        <v>399171.59402312915</v>
      </c>
    </row>
    <row r="20" spans="1:9" x14ac:dyDescent="0.3">
      <c r="A20" s="6"/>
      <c r="B20" s="44"/>
      <c r="C20" s="44"/>
      <c r="D20" s="44"/>
      <c r="E20" s="44"/>
      <c r="F20" s="44"/>
      <c r="G20" s="44"/>
      <c r="H20" s="44"/>
      <c r="I20" s="44"/>
    </row>
    <row r="21" spans="1:9" x14ac:dyDescent="0.3">
      <c r="A21" s="6" t="s">
        <v>89</v>
      </c>
      <c r="B21" s="27">
        <v>766.02</v>
      </c>
      <c r="C21" s="27">
        <v>767</v>
      </c>
      <c r="D21" s="27">
        <v>736</v>
      </c>
      <c r="E21" s="44">
        <f>AVERAGE(B21:D21)</f>
        <v>756.34</v>
      </c>
      <c r="F21" s="44">
        <f t="shared" ref="F21:I21" si="9">AVERAGE(C21:E21)</f>
        <v>753.11333333333334</v>
      </c>
      <c r="G21" s="44">
        <f t="shared" si="9"/>
        <v>748.48444444444442</v>
      </c>
      <c r="H21" s="44">
        <f t="shared" si="9"/>
        <v>752.64592592592589</v>
      </c>
      <c r="I21" s="44">
        <f t="shared" si="9"/>
        <v>751.41456790123448</v>
      </c>
    </row>
    <row r="22" spans="1:9" s="23" customFormat="1" x14ac:dyDescent="0.3">
      <c r="A22" s="6" t="s">
        <v>90</v>
      </c>
      <c r="B22" s="27">
        <v>5009.3500000000004</v>
      </c>
      <c r="C22" s="27">
        <f>B22+Income_Statement!C19</f>
        <v>6811.3925000000118</v>
      </c>
      <c r="D22" s="27">
        <f>C22+Income_Statement!D19</f>
        <v>8412.3925000000127</v>
      </c>
      <c r="E22" s="27">
        <f>D22+Income_Statement!E19</f>
        <v>11906.783001225194</v>
      </c>
      <c r="F22" s="27">
        <f>E22+Income_Statement!F19</f>
        <v>17756.575527533023</v>
      </c>
      <c r="G22" s="27">
        <f>F22+Income_Statement!G19</f>
        <v>24486.351926714167</v>
      </c>
      <c r="H22" s="27">
        <f>G22+Income_Statement!H19</f>
        <v>32899.539271615969</v>
      </c>
      <c r="I22" s="27">
        <f>H22+Income_Statement!I19</f>
        <v>42937.117947168656</v>
      </c>
    </row>
    <row r="23" spans="1:9" x14ac:dyDescent="0.3">
      <c r="A23" s="5" t="s">
        <v>91</v>
      </c>
      <c r="B23" s="48">
        <f>B21+B22</f>
        <v>5775.3700000000008</v>
      </c>
      <c r="C23" s="48">
        <f t="shared" ref="C23:I23" si="10">C21+C22</f>
        <v>7578.3925000000118</v>
      </c>
      <c r="D23" s="48">
        <f t="shared" si="10"/>
        <v>9148.3925000000127</v>
      </c>
      <c r="E23" s="48">
        <f t="shared" si="10"/>
        <v>12663.123001225194</v>
      </c>
      <c r="F23" s="48">
        <f t="shared" si="10"/>
        <v>18509.688860866358</v>
      </c>
      <c r="G23" s="48">
        <f t="shared" si="10"/>
        <v>25234.836371158613</v>
      </c>
      <c r="H23" s="48">
        <f t="shared" si="10"/>
        <v>33652.185197541898</v>
      </c>
      <c r="I23" s="48">
        <f t="shared" si="10"/>
        <v>43688.532515069892</v>
      </c>
    </row>
    <row r="24" spans="1:9" x14ac:dyDescent="0.3">
      <c r="A24" s="6"/>
      <c r="B24" s="44"/>
      <c r="C24" s="44"/>
      <c r="D24" s="44"/>
      <c r="E24" s="44"/>
      <c r="F24" s="44"/>
      <c r="G24" s="44"/>
      <c r="H24" s="44"/>
      <c r="I24" s="44"/>
    </row>
    <row r="25" spans="1:9" x14ac:dyDescent="0.3">
      <c r="A25" s="5" t="s">
        <v>92</v>
      </c>
      <c r="B25" s="48">
        <f>B19+B23</f>
        <v>243164.08000000002</v>
      </c>
      <c r="C25" s="48">
        <f t="shared" ref="C25:I25" si="11">C19+C23</f>
        <v>228389.34250000003</v>
      </c>
      <c r="D25" s="48">
        <f t="shared" si="11"/>
        <v>204934.27250000002</v>
      </c>
      <c r="E25" s="48">
        <f t="shared" si="11"/>
        <v>219792.19461316417</v>
      </c>
      <c r="F25" s="48">
        <f t="shared" si="11"/>
        <v>268284.82009667519</v>
      </c>
      <c r="G25" s="48">
        <f t="shared" si="11"/>
        <v>320124.9275426392</v>
      </c>
      <c r="H25" s="48">
        <f t="shared" si="11"/>
        <v>376309.82280380593</v>
      </c>
      <c r="I25" s="48">
        <f t="shared" si="11"/>
        <v>442860.12653819902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E2EF-6759-401F-ADC6-E962EBF6813D}">
  <dimension ref="A1:I17"/>
  <sheetViews>
    <sheetView workbookViewId="0">
      <selection activeCell="H19" sqref="H19"/>
    </sheetView>
  </sheetViews>
  <sheetFormatPr defaultRowHeight="14.4" x14ac:dyDescent="0.3"/>
  <cols>
    <col min="1" max="1" width="19" bestFit="1" customWidth="1"/>
    <col min="2" max="9" width="10.88671875" bestFit="1" customWidth="1"/>
  </cols>
  <sheetData>
    <row r="1" spans="1:9" x14ac:dyDescent="0.3">
      <c r="A1" s="1" t="s">
        <v>93</v>
      </c>
      <c r="B1" s="21" t="s">
        <v>26</v>
      </c>
      <c r="C1" s="21" t="s">
        <v>27</v>
      </c>
      <c r="D1" s="21" t="s">
        <v>28</v>
      </c>
      <c r="E1" s="21" t="s">
        <v>29</v>
      </c>
      <c r="F1" s="21" t="s">
        <v>30</v>
      </c>
      <c r="G1" s="21" t="s">
        <v>31</v>
      </c>
      <c r="H1" s="21" t="s">
        <v>32</v>
      </c>
      <c r="I1" s="21" t="s">
        <v>33</v>
      </c>
    </row>
    <row r="2" spans="1:9" x14ac:dyDescent="0.3">
      <c r="A2" s="1"/>
      <c r="B2" s="21"/>
      <c r="C2" s="21"/>
      <c r="D2" s="21"/>
      <c r="E2" s="21"/>
      <c r="F2" s="21"/>
      <c r="G2" s="21"/>
      <c r="H2" s="21"/>
      <c r="I2" s="21"/>
    </row>
    <row r="3" spans="1:9" x14ac:dyDescent="0.3">
      <c r="A3" s="6" t="s">
        <v>77</v>
      </c>
      <c r="B3" s="41">
        <f>Income_Statement!B19</f>
        <v>-11029.170000000038</v>
      </c>
      <c r="C3" s="41">
        <f>Income_Statement!C19</f>
        <v>1802.0425000000114</v>
      </c>
      <c r="D3" s="41">
        <f>Income_Statement!D19</f>
        <v>1601</v>
      </c>
      <c r="E3" s="41">
        <f>Income_Statement!E19</f>
        <v>3494.3905012251817</v>
      </c>
      <c r="F3" s="41">
        <f>Income_Statement!F19</f>
        <v>5849.7925263078287</v>
      </c>
      <c r="G3" s="41">
        <f>Income_Statement!G19</f>
        <v>6729.7763991811444</v>
      </c>
      <c r="H3" s="41">
        <f>Income_Statement!H19</f>
        <v>8413.1873449017985</v>
      </c>
      <c r="I3" s="41">
        <f>Income_Statement!I19</f>
        <v>10037.578675552686</v>
      </c>
    </row>
    <row r="4" spans="1:9" x14ac:dyDescent="0.3">
      <c r="A4" s="6" t="s">
        <v>47</v>
      </c>
      <c r="B4" s="41">
        <f>Income_Statement!B12</f>
        <v>24860.36</v>
      </c>
      <c r="C4" s="41">
        <f>Income_Statement!C12</f>
        <v>27270.13</v>
      </c>
      <c r="D4" s="41">
        <f>Income_Statement!D12</f>
        <v>23256</v>
      </c>
      <c r="E4" s="41">
        <f>Income_Statement!E12</f>
        <v>21276.969585884886</v>
      </c>
      <c r="F4" s="41">
        <f>Income_Statement!F12</f>
        <v>19620.550055115116</v>
      </c>
      <c r="G4" s="41">
        <f>Income_Statement!G12</f>
        <v>18646.828572570932</v>
      </c>
      <c r="H4" s="41">
        <f>Income_Statement!H12</f>
        <v>19264.853538055238</v>
      </c>
      <c r="I4" s="41">
        <f>Income_Statement!I12</f>
        <v>20192.547381131055</v>
      </c>
    </row>
    <row r="5" spans="1:9" x14ac:dyDescent="0.3">
      <c r="A5" s="6" t="s">
        <v>57</v>
      </c>
      <c r="B5" s="41">
        <f>Working_Capital!B17</f>
        <v>0</v>
      </c>
      <c r="C5" s="41">
        <f>Working_Capital!C17</f>
        <v>-7740.4400000000023</v>
      </c>
      <c r="D5" s="41">
        <f>Working_Capital!D17</f>
        <v>-10258.150000000009</v>
      </c>
      <c r="E5" s="41">
        <f>Working_Capital!E20</f>
        <v>-5110.5549081926138</v>
      </c>
      <c r="F5" s="41">
        <f>Working_Capital!F20</f>
        <v>-3861.977527984172</v>
      </c>
      <c r="G5" s="41">
        <f>Working_Capital!G20</f>
        <v>-3296.5481530169004</v>
      </c>
      <c r="H5" s="41">
        <f>Working_Capital!H20</f>
        <v>-4669.9104929945706</v>
      </c>
      <c r="I5" s="41">
        <f>Working_Capital!I20</f>
        <v>-4917.9902182976257</v>
      </c>
    </row>
    <row r="6" spans="1:9" x14ac:dyDescent="0.3">
      <c r="A6" s="6" t="s">
        <v>94</v>
      </c>
      <c r="B6" s="43">
        <f>B3+B4+B5</f>
        <v>13831.189999999962</v>
      </c>
      <c r="C6" s="43">
        <f t="shared" ref="C6:I6" si="0">C3+C4+C5</f>
        <v>21331.732500000009</v>
      </c>
      <c r="D6" s="43">
        <f t="shared" si="0"/>
        <v>14598.849999999991</v>
      </c>
      <c r="E6" s="43">
        <f t="shared" si="0"/>
        <v>19660.805178917453</v>
      </c>
      <c r="F6" s="43">
        <f t="shared" si="0"/>
        <v>21608.365053438774</v>
      </c>
      <c r="G6" s="43">
        <f t="shared" si="0"/>
        <v>22080.056818735175</v>
      </c>
      <c r="H6" s="43">
        <f t="shared" si="0"/>
        <v>23008.130389962465</v>
      </c>
      <c r="I6" s="43">
        <f t="shared" si="0"/>
        <v>25312.135838386115</v>
      </c>
    </row>
    <row r="7" spans="1:9" x14ac:dyDescent="0.3">
      <c r="A7" s="6"/>
      <c r="B7" s="6"/>
      <c r="C7" s="6"/>
      <c r="D7" s="6"/>
      <c r="E7" s="6"/>
      <c r="F7" s="6"/>
      <c r="G7" s="6"/>
      <c r="H7" s="6"/>
      <c r="I7" s="6"/>
    </row>
    <row r="8" spans="1:9" x14ac:dyDescent="0.3">
      <c r="A8" s="6" t="s">
        <v>60</v>
      </c>
      <c r="B8" s="41">
        <f>Capex_Depreciation!B6</f>
        <v>8492.6299999999992</v>
      </c>
      <c r="C8" s="41">
        <f>Capex_Depreciation!C6</f>
        <v>12974.74</v>
      </c>
      <c r="D8" s="41">
        <f>Capex_Depreciation!D6</f>
        <v>15189</v>
      </c>
      <c r="E8" s="41">
        <f>Capex_Depreciation!E6</f>
        <v>15028.349324378009</v>
      </c>
      <c r="F8" s="41">
        <f>Capex_Depreciation!F6</f>
        <v>17968.779558980877</v>
      </c>
      <c r="G8" s="41">
        <f>Capex_Depreciation!G6</f>
        <v>20050.291749831689</v>
      </c>
      <c r="H8" s="41">
        <f>Capex_Depreciation!H6</f>
        <v>21965.380022525347</v>
      </c>
      <c r="I8" s="41">
        <f>Capex_Depreciation!I6</f>
        <v>24919.747477527373</v>
      </c>
    </row>
    <row r="9" spans="1:9" x14ac:dyDescent="0.3">
      <c r="A9" s="6" t="s">
        <v>95</v>
      </c>
      <c r="B9" s="43">
        <f>B8</f>
        <v>8492.6299999999992</v>
      </c>
      <c r="C9" s="43">
        <f t="shared" ref="C9:I9" si="1">C8</f>
        <v>12974.74</v>
      </c>
      <c r="D9" s="43">
        <f t="shared" si="1"/>
        <v>15189</v>
      </c>
      <c r="E9" s="43">
        <f t="shared" si="1"/>
        <v>15028.349324378009</v>
      </c>
      <c r="F9" s="43">
        <f t="shared" si="1"/>
        <v>17968.779558980877</v>
      </c>
      <c r="G9" s="43">
        <f t="shared" si="1"/>
        <v>20050.291749831689</v>
      </c>
      <c r="H9" s="43">
        <f t="shared" si="1"/>
        <v>21965.380022525347</v>
      </c>
      <c r="I9" s="43">
        <f t="shared" si="1"/>
        <v>24919.747477527373</v>
      </c>
    </row>
    <row r="10" spans="1:9" x14ac:dyDescent="0.3">
      <c r="A10" s="6"/>
      <c r="B10" s="6"/>
      <c r="C10" s="6"/>
      <c r="D10" s="6"/>
      <c r="E10" s="6"/>
      <c r="F10" s="6"/>
      <c r="G10" s="6"/>
      <c r="H10" s="6"/>
      <c r="I10" s="6"/>
    </row>
    <row r="11" spans="1:9" x14ac:dyDescent="0.3">
      <c r="A11" s="6" t="s">
        <v>66</v>
      </c>
      <c r="B11" s="41">
        <f>Debt_Interest!B4</f>
        <v>48174.86</v>
      </c>
      <c r="C11" s="41">
        <f>Debt_Interest!C4</f>
        <v>44440.51</v>
      </c>
      <c r="D11" s="41">
        <f>Debt_Interest!D4</f>
        <v>21823.5</v>
      </c>
      <c r="E11" s="41">
        <f>Debt_Interest!E4</f>
        <v>0</v>
      </c>
      <c r="F11" s="41">
        <f>Debt_Interest!F4</f>
        <v>0</v>
      </c>
      <c r="G11" s="41">
        <f>Debt_Interest!G4</f>
        <v>0</v>
      </c>
      <c r="H11" s="41">
        <f>Debt_Interest!H4</f>
        <v>0</v>
      </c>
      <c r="I11" s="41">
        <f>Debt_Interest!I4</f>
        <v>0</v>
      </c>
    </row>
    <row r="12" spans="1:9" x14ac:dyDescent="0.3">
      <c r="A12" s="6" t="s">
        <v>67</v>
      </c>
      <c r="B12" s="41">
        <f>Debt_Interest!B5</f>
        <v>42816.25</v>
      </c>
      <c r="C12" s="41">
        <f>Debt_Interest!C5</f>
        <v>62557.279999999999</v>
      </c>
      <c r="D12" s="41">
        <f>Debt_Interest!D5</f>
        <v>47331.71</v>
      </c>
      <c r="E12" s="41">
        <f>Debt_Interest!E5</f>
        <v>0</v>
      </c>
      <c r="F12" s="41">
        <f>Debt_Interest!F5</f>
        <v>0</v>
      </c>
      <c r="G12" s="41">
        <f>Debt_Interest!G5</f>
        <v>0</v>
      </c>
      <c r="H12" s="41">
        <f>Debt_Interest!H5</f>
        <v>0</v>
      </c>
      <c r="I12" s="41">
        <f>Debt_Interest!I5</f>
        <v>0</v>
      </c>
    </row>
    <row r="13" spans="1:9" x14ac:dyDescent="0.3">
      <c r="A13" s="6" t="s">
        <v>96</v>
      </c>
      <c r="B13" s="43">
        <f>B11-B12</f>
        <v>5358.6100000000006</v>
      </c>
      <c r="C13" s="43">
        <f t="shared" ref="C13:I13" si="2">C11-C12</f>
        <v>-18116.769999999997</v>
      </c>
      <c r="D13" s="43">
        <f t="shared" si="2"/>
        <v>-25508.21</v>
      </c>
      <c r="E13" s="43">
        <f t="shared" si="2"/>
        <v>0</v>
      </c>
      <c r="F13" s="43">
        <f t="shared" si="2"/>
        <v>0</v>
      </c>
      <c r="G13" s="43">
        <f t="shared" si="2"/>
        <v>0</v>
      </c>
      <c r="H13" s="43">
        <f t="shared" si="2"/>
        <v>0</v>
      </c>
      <c r="I13" s="43">
        <f t="shared" si="2"/>
        <v>0</v>
      </c>
    </row>
    <row r="14" spans="1:9" x14ac:dyDescent="0.3">
      <c r="A14" s="6"/>
      <c r="B14" s="6"/>
      <c r="C14" s="6"/>
      <c r="D14" s="6"/>
      <c r="E14" s="6"/>
      <c r="F14" s="6"/>
      <c r="G14" s="6"/>
      <c r="H14" s="6"/>
      <c r="I14" s="6"/>
    </row>
    <row r="15" spans="1:9" x14ac:dyDescent="0.3">
      <c r="A15" s="6" t="s">
        <v>97</v>
      </c>
      <c r="B15" s="43">
        <f>B6+B9+B13</f>
        <v>27682.429999999964</v>
      </c>
      <c r="C15" s="43">
        <f t="shared" ref="C15:I15" si="3">C6+C9+C13</f>
        <v>16189.702500000014</v>
      </c>
      <c r="D15" s="43">
        <f t="shared" si="3"/>
        <v>4279.6399999999921</v>
      </c>
      <c r="E15" s="43">
        <f t="shared" si="3"/>
        <v>34689.15450329546</v>
      </c>
      <c r="F15" s="43">
        <f t="shared" si="3"/>
        <v>39577.144612419652</v>
      </c>
      <c r="G15" s="43">
        <f t="shared" si="3"/>
        <v>42130.348568566864</v>
      </c>
      <c r="H15" s="43">
        <f t="shared" si="3"/>
        <v>44973.510412487813</v>
      </c>
      <c r="I15" s="43">
        <f t="shared" si="3"/>
        <v>50231.883315913488</v>
      </c>
    </row>
    <row r="16" spans="1:9" x14ac:dyDescent="0.3">
      <c r="A16" s="6" t="s">
        <v>98</v>
      </c>
      <c r="B16" s="45">
        <f>Balance_Sheet!B3</f>
        <v>37015.56</v>
      </c>
      <c r="C16" s="45">
        <f>Balance_Sheet!C3</f>
        <v>45806.69</v>
      </c>
      <c r="D16" s="45">
        <f>Balance_Sheet!D3</f>
        <v>40834</v>
      </c>
      <c r="E16" s="43">
        <f>D17</f>
        <v>45113.639999999992</v>
      </c>
      <c r="F16" s="43">
        <f t="shared" ref="F16:I16" si="4">E17</f>
        <v>79802.794503295445</v>
      </c>
      <c r="G16" s="43">
        <f t="shared" si="4"/>
        <v>119379.9391157151</v>
      </c>
      <c r="H16" s="43">
        <f t="shared" si="4"/>
        <v>161510.28768428197</v>
      </c>
      <c r="I16" s="43">
        <f t="shared" si="4"/>
        <v>206483.79809676978</v>
      </c>
    </row>
    <row r="17" spans="1:9" x14ac:dyDescent="0.3">
      <c r="A17" s="6" t="s">
        <v>99</v>
      </c>
      <c r="B17" s="43">
        <f>B15+B16</f>
        <v>64697.989999999962</v>
      </c>
      <c r="C17" s="43">
        <f t="shared" ref="C17:I17" si="5">C15+C16</f>
        <v>61996.392500000016</v>
      </c>
      <c r="D17" s="43">
        <f t="shared" si="5"/>
        <v>45113.639999999992</v>
      </c>
      <c r="E17" s="43">
        <f t="shared" si="5"/>
        <v>79802.794503295445</v>
      </c>
      <c r="F17" s="43">
        <f t="shared" si="5"/>
        <v>119379.9391157151</v>
      </c>
      <c r="G17" s="43">
        <f t="shared" si="5"/>
        <v>161510.28768428197</v>
      </c>
      <c r="H17" s="43">
        <f t="shared" si="5"/>
        <v>206483.79809676978</v>
      </c>
      <c r="I17" s="43">
        <f t="shared" si="5"/>
        <v>256715.68141268328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1DC95-1FCD-4698-BB4D-69BE3BC3808E}">
  <dimension ref="A1:B21"/>
  <sheetViews>
    <sheetView workbookViewId="0">
      <selection activeCell="B3" sqref="B3"/>
    </sheetView>
  </sheetViews>
  <sheetFormatPr defaultRowHeight="14.4" x14ac:dyDescent="0.3"/>
  <cols>
    <col min="1" max="1" width="22.6640625" bestFit="1" customWidth="1"/>
    <col min="2" max="2" width="12.33203125" bestFit="1" customWidth="1"/>
  </cols>
  <sheetData>
    <row r="1" spans="1:2" x14ac:dyDescent="0.3">
      <c r="A1" t="s">
        <v>101</v>
      </c>
    </row>
    <row r="3" spans="1:2" x14ac:dyDescent="0.3">
      <c r="A3" s="6" t="s">
        <v>12</v>
      </c>
      <c r="B3" s="25">
        <f ca="1">Assumptions!B4</f>
        <v>6.633E-2</v>
      </c>
    </row>
    <row r="4" spans="1:2" x14ac:dyDescent="0.3">
      <c r="A4" s="6" t="s">
        <v>13</v>
      </c>
      <c r="B4" s="25">
        <f>Assumptions!B5</f>
        <v>7.2599999999999998E-2</v>
      </c>
    </row>
    <row r="5" spans="1:2" x14ac:dyDescent="0.3">
      <c r="A5" s="6" t="s">
        <v>102</v>
      </c>
      <c r="B5" s="50" cm="1">
        <f t="array" aca="1" ref="B5" ca="1">_FV(Control!B3,"Beta")</f>
        <v>1.0739000000000001</v>
      </c>
    </row>
    <row r="6" spans="1:2" x14ac:dyDescent="0.3">
      <c r="A6" s="6" t="s">
        <v>103</v>
      </c>
      <c r="B6" s="30">
        <f ca="1">(B3+B5)*B4</f>
        <v>8.2780698E-2</v>
      </c>
    </row>
    <row r="7" spans="1:2" x14ac:dyDescent="0.3">
      <c r="A7" s="6"/>
      <c r="B7" s="6"/>
    </row>
    <row r="8" spans="1:2" x14ac:dyDescent="0.3">
      <c r="A8" s="6" t="s">
        <v>20</v>
      </c>
      <c r="B8" s="25">
        <f>Assumptions!B13</f>
        <v>8.5000000000000006E-2</v>
      </c>
    </row>
    <row r="9" spans="1:2" x14ac:dyDescent="0.3">
      <c r="A9" s="6" t="s">
        <v>104</v>
      </c>
      <c r="B9" s="25">
        <f>Assumptions!B6</f>
        <v>0.25</v>
      </c>
    </row>
    <row r="10" spans="1:2" x14ac:dyDescent="0.3">
      <c r="A10" s="6" t="s">
        <v>105</v>
      </c>
      <c r="B10" s="30">
        <f>B8*(1-B9)</f>
        <v>6.3750000000000001E-2</v>
      </c>
    </row>
    <row r="11" spans="1:2" x14ac:dyDescent="0.3">
      <c r="A11" s="6"/>
      <c r="B11" s="6"/>
    </row>
    <row r="12" spans="1:2" x14ac:dyDescent="0.3">
      <c r="A12" s="6" t="s">
        <v>22</v>
      </c>
      <c r="B12" s="45">
        <f ca="1">Assumptions!B16</f>
        <v>368.23309999999998</v>
      </c>
    </row>
    <row r="13" spans="1:2" x14ac:dyDescent="0.3">
      <c r="A13" s="6" t="s">
        <v>23</v>
      </c>
      <c r="B13" s="20">
        <f ca="1">Assumptions!B17</f>
        <v>363.25</v>
      </c>
    </row>
    <row r="14" spans="1:2" x14ac:dyDescent="0.3">
      <c r="A14" s="6" t="s">
        <v>106</v>
      </c>
      <c r="B14" s="51">
        <f ca="1">B12*B13</f>
        <v>133760.67357499999</v>
      </c>
    </row>
    <row r="15" spans="1:2" x14ac:dyDescent="0.3">
      <c r="A15" s="6" t="s">
        <v>107</v>
      </c>
      <c r="B15" s="41">
        <f>Balance_Sheet!D17-Balance_Sheet!D3</f>
        <v>32157.880000000005</v>
      </c>
    </row>
    <row r="16" spans="1:2" x14ac:dyDescent="0.3">
      <c r="A16" s="6" t="s">
        <v>108</v>
      </c>
      <c r="B16" s="52">
        <f ca="1">B14+B15</f>
        <v>165918.553575</v>
      </c>
    </row>
    <row r="17" spans="1:2" x14ac:dyDescent="0.3">
      <c r="A17" s="6" t="s">
        <v>109</v>
      </c>
      <c r="B17" s="30">
        <f ca="1">B14/$B$16</f>
        <v>0.80618273660718898</v>
      </c>
    </row>
    <row r="18" spans="1:2" x14ac:dyDescent="0.3">
      <c r="A18" s="6" t="s">
        <v>110</v>
      </c>
      <c r="B18" s="30">
        <f ca="1">B15/$B$16</f>
        <v>0.19381726339281105</v>
      </c>
    </row>
    <row r="19" spans="1:2" x14ac:dyDescent="0.3">
      <c r="A19" s="6"/>
      <c r="B19" s="6"/>
    </row>
    <row r="20" spans="1:2" x14ac:dyDescent="0.3">
      <c r="A20" s="6" t="s">
        <v>111</v>
      </c>
      <c r="B20" s="53">
        <f>Stress_Test!L8</f>
        <v>7.9225060802006725E-2</v>
      </c>
    </row>
    <row r="21" spans="1:2" x14ac:dyDescent="0.3">
      <c r="A21" s="56" t="s">
        <v>127</v>
      </c>
      <c r="B21" s="24">
        <v>7.9225060802006725E-2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AED1-E0D2-4EF5-A951-CC5563DC0ED5}">
  <dimension ref="A1:F25"/>
  <sheetViews>
    <sheetView workbookViewId="0">
      <selection activeCell="B25" sqref="B25"/>
    </sheetView>
  </sheetViews>
  <sheetFormatPr defaultRowHeight="14.4" x14ac:dyDescent="0.3"/>
  <cols>
    <col min="1" max="1" width="18.109375" bestFit="1" customWidth="1"/>
    <col min="2" max="2" width="12.88671875" bestFit="1" customWidth="1"/>
    <col min="3" max="6" width="10.88671875" bestFit="1" customWidth="1"/>
  </cols>
  <sheetData>
    <row r="1" spans="1:6" x14ac:dyDescent="0.3">
      <c r="A1" s="1" t="s">
        <v>112</v>
      </c>
      <c r="B1" s="21" t="s">
        <v>29</v>
      </c>
      <c r="C1" s="21" t="s">
        <v>30</v>
      </c>
      <c r="D1" s="21" t="s">
        <v>31</v>
      </c>
      <c r="E1" s="21" t="s">
        <v>32</v>
      </c>
      <c r="F1" s="21" t="s">
        <v>33</v>
      </c>
    </row>
    <row r="3" spans="1:6" x14ac:dyDescent="0.3">
      <c r="A3" s="6" t="s">
        <v>48</v>
      </c>
      <c r="B3" s="41">
        <f>Income_Statement!E13</f>
        <v>20181.871804900729</v>
      </c>
      <c r="C3" s="41">
        <f>Income_Statement!F13</f>
        <v>29603.479905231321</v>
      </c>
      <c r="D3" s="41">
        <f>Income_Statement!G13</f>
        <v>33123.41539672458</v>
      </c>
      <c r="E3" s="41">
        <f>Income_Statement!H13</f>
        <v>39857.059179607197</v>
      </c>
      <c r="F3" s="41">
        <f>Income_Statement!I13</f>
        <v>46354.624502210747</v>
      </c>
    </row>
    <row r="4" spans="1:6" x14ac:dyDescent="0.3">
      <c r="A4" s="6" t="s">
        <v>113</v>
      </c>
      <c r="B4" s="43">
        <f>B3*(1-Assumptions!$B$6)</f>
        <v>15136.403853675547</v>
      </c>
      <c r="C4" s="43">
        <f>C3*(1-Assumptions!$B$6)</f>
        <v>22202.609928923492</v>
      </c>
      <c r="D4" s="43">
        <f>D3*(1-Assumptions!$B$6)</f>
        <v>24842.561547543435</v>
      </c>
      <c r="E4" s="43">
        <f>E3*(1-Assumptions!$B$6)</f>
        <v>29892.794384705398</v>
      </c>
      <c r="F4" s="43">
        <f>F3*(1-Assumptions!$B$6)</f>
        <v>34765.968376658057</v>
      </c>
    </row>
    <row r="5" spans="1:6" x14ac:dyDescent="0.3">
      <c r="A5" s="6" t="s">
        <v>47</v>
      </c>
      <c r="B5" s="41">
        <f>Income_Statement!E12</f>
        <v>21276.969585884886</v>
      </c>
      <c r="C5" s="41">
        <f>Income_Statement!F12</f>
        <v>19620.550055115116</v>
      </c>
      <c r="D5" s="41">
        <f>Income_Statement!G12</f>
        <v>18646.828572570932</v>
      </c>
      <c r="E5" s="41">
        <f>Income_Statement!H12</f>
        <v>19264.853538055238</v>
      </c>
      <c r="F5" s="41">
        <f>Income_Statement!I12</f>
        <v>20192.547381131055</v>
      </c>
    </row>
    <row r="6" spans="1:6" x14ac:dyDescent="0.3">
      <c r="A6" s="6" t="s">
        <v>60</v>
      </c>
      <c r="B6" s="41">
        <f>Cash_Flow!E8</f>
        <v>15028.349324378009</v>
      </c>
      <c r="C6" s="41">
        <f>Cash_Flow!F8</f>
        <v>17968.779558980877</v>
      </c>
      <c r="D6" s="41">
        <f>Cash_Flow!G8</f>
        <v>20050.291749831689</v>
      </c>
      <c r="E6" s="41">
        <f>Cash_Flow!H8</f>
        <v>21965.380022525347</v>
      </c>
      <c r="F6" s="41">
        <f>Cash_Flow!I8</f>
        <v>24919.747477527373</v>
      </c>
    </row>
    <row r="7" spans="1:6" x14ac:dyDescent="0.3">
      <c r="A7" s="6" t="s">
        <v>57</v>
      </c>
      <c r="B7" s="41">
        <f>Cash_Flow!E5</f>
        <v>-5110.5549081926138</v>
      </c>
      <c r="C7" s="41">
        <f>Cash_Flow!F5</f>
        <v>-3861.977527984172</v>
      </c>
      <c r="D7" s="41">
        <f>Cash_Flow!G5</f>
        <v>-3296.5481530169004</v>
      </c>
      <c r="E7" s="41">
        <f>Cash_Flow!H5</f>
        <v>-4669.9104929945706</v>
      </c>
      <c r="F7" s="41">
        <f>Cash_Flow!I5</f>
        <v>-4917.9902182976257</v>
      </c>
    </row>
    <row r="8" spans="1:6" x14ac:dyDescent="0.3">
      <c r="A8" s="6" t="s">
        <v>24</v>
      </c>
      <c r="B8" s="43">
        <f>B4+B5-B6-B7</f>
        <v>26495.579023375038</v>
      </c>
      <c r="C8" s="43">
        <f t="shared" ref="C8:F8" si="0">C4+C5-C6-C7</f>
        <v>27716.357953041897</v>
      </c>
      <c r="D8" s="43">
        <f t="shared" si="0"/>
        <v>26735.64652329958</v>
      </c>
      <c r="E8" s="43">
        <f t="shared" si="0"/>
        <v>31862.178393229857</v>
      </c>
      <c r="F8" s="43">
        <f t="shared" si="0"/>
        <v>34956.758498559357</v>
      </c>
    </row>
    <row r="11" spans="1:6" x14ac:dyDescent="0.3">
      <c r="A11" s="6" t="s">
        <v>111</v>
      </c>
      <c r="B11" s="54">
        <f>WACC!B20</f>
        <v>7.9225060802006725E-2</v>
      </c>
    </row>
    <row r="12" spans="1:6" x14ac:dyDescent="0.3">
      <c r="A12" s="6" t="s">
        <v>114</v>
      </c>
      <c r="B12" s="30">
        <f>1/(1+B11)^5</f>
        <v>0.68303017763160767</v>
      </c>
      <c r="C12" s="4"/>
      <c r="D12" s="4"/>
      <c r="E12" s="4"/>
      <c r="F12" s="4"/>
    </row>
    <row r="13" spans="1:6" x14ac:dyDescent="0.3">
      <c r="A13" s="6" t="s">
        <v>115</v>
      </c>
      <c r="B13" s="44">
        <f>NPV(Sensitivity!I4,B8:F8)</f>
        <v>116979.88826459607</v>
      </c>
    </row>
    <row r="15" spans="1:6" x14ac:dyDescent="0.3">
      <c r="A15" s="6" t="s">
        <v>116</v>
      </c>
      <c r="B15" s="55">
        <f>Assumptions!B7</f>
        <v>2.5000000000000001E-2</v>
      </c>
    </row>
    <row r="16" spans="1:6" x14ac:dyDescent="0.3">
      <c r="A16" s="6" t="s">
        <v>117</v>
      </c>
      <c r="B16" s="44">
        <f>F8*(1+Sensitivity!I5)/(Sensitivity!I4-Sensitivity!I5)</f>
        <v>660777.08223975555</v>
      </c>
    </row>
    <row r="17" spans="1:2" x14ac:dyDescent="0.3">
      <c r="A17" s="6" t="s">
        <v>118</v>
      </c>
      <c r="B17" s="44">
        <f>B16*B12</f>
        <v>451330.68785711564</v>
      </c>
    </row>
    <row r="19" spans="1:2" x14ac:dyDescent="0.3">
      <c r="A19" s="6" t="s">
        <v>119</v>
      </c>
      <c r="B19" s="44">
        <f>B13+B17</f>
        <v>568310.57612171175</v>
      </c>
    </row>
    <row r="20" spans="1:2" x14ac:dyDescent="0.3">
      <c r="A20" s="6" t="s">
        <v>107</v>
      </c>
      <c r="B20" s="41">
        <f>WACC!B15</f>
        <v>32157.880000000005</v>
      </c>
    </row>
    <row r="21" spans="1:2" x14ac:dyDescent="0.3">
      <c r="A21" s="6" t="s">
        <v>120</v>
      </c>
      <c r="B21" s="44">
        <f>B19-B20</f>
        <v>536152.69612171175</v>
      </c>
    </row>
    <row r="22" spans="1:2" x14ac:dyDescent="0.3">
      <c r="A22" s="6" t="s">
        <v>22</v>
      </c>
      <c r="B22" s="41">
        <f ca="1">WACC!B12</f>
        <v>368.23309999999998</v>
      </c>
    </row>
    <row r="23" spans="1:2" x14ac:dyDescent="0.3">
      <c r="A23" s="6" t="s">
        <v>121</v>
      </c>
      <c r="B23" s="44">
        <f ca="1">B21/B22</f>
        <v>1456.0143999051465</v>
      </c>
    </row>
    <row r="24" spans="1:2" x14ac:dyDescent="0.3">
      <c r="A24" s="6" t="s">
        <v>122</v>
      </c>
      <c r="B24" s="47">
        <f ca="1">WACC!B13</f>
        <v>363.25</v>
      </c>
    </row>
    <row r="25" spans="1:2" x14ac:dyDescent="0.3">
      <c r="A25" s="6" t="s">
        <v>123</v>
      </c>
      <c r="B25" s="28">
        <f ca="1">(B23-B24)/B24</f>
        <v>3.0082984168070106</v>
      </c>
    </row>
  </sheetData>
  <conditionalFormatting sqref="B25">
    <cfRule type="cellIs" dxfId="7" priority="1" operator="lessThan">
      <formula>0</formula>
    </cfRule>
    <cfRule type="cellIs" dxfId="6" priority="2" operator="greater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7BAE-2C6C-474A-8DCB-206E5547A541}">
  <dimension ref="A1:I9"/>
  <sheetViews>
    <sheetView showGridLines="0" workbookViewId="0">
      <selection activeCell="B4" sqref="B4"/>
    </sheetView>
  </sheetViews>
  <sheetFormatPr defaultRowHeight="14.4" x14ac:dyDescent="0.3"/>
  <cols>
    <col min="1" max="1" width="22.21875" bestFit="1" customWidth="1"/>
    <col min="8" max="8" width="10.6640625" bestFit="1" customWidth="1"/>
    <col min="9" max="9" width="11.5546875" bestFit="1" customWidth="1"/>
  </cols>
  <sheetData>
    <row r="1" spans="1:9" x14ac:dyDescent="0.3">
      <c r="A1" s="1" t="s">
        <v>126</v>
      </c>
    </row>
    <row r="2" spans="1:9" ht="15" thickBot="1" x14ac:dyDescent="0.35"/>
    <row r="3" spans="1:9" ht="18.600000000000001" thickBot="1" x14ac:dyDescent="0.4">
      <c r="A3" s="57">
        <f ca="1">DCF_Valuation!B23</f>
        <v>1456.0143999051465</v>
      </c>
      <c r="B3" s="64">
        <v>2.5000000000000001E-2</v>
      </c>
      <c r="C3" s="65">
        <v>0.03</v>
      </c>
      <c r="D3" s="65">
        <v>3.5000000000000003E-2</v>
      </c>
      <c r="E3" s="65">
        <v>0.04</v>
      </c>
      <c r="F3" s="66">
        <v>4.4999999999999998E-2</v>
      </c>
    </row>
    <row r="4" spans="1:9" x14ac:dyDescent="0.3">
      <c r="A4" s="70">
        <v>8.5000000000000006E-2</v>
      </c>
      <c r="B4" s="67">
        <f t="dataTable" ref="B4:F9" dt2D="1" dtr="1" r1="I5" r2="I4"/>
        <v>1333.0325188333973</v>
      </c>
      <c r="C4" s="62">
        <v>1439.6268293594521</v>
      </c>
      <c r="D4" s="62">
        <v>1567.5400019907181</v>
      </c>
      <c r="E4" s="62">
        <v>1723.8783240955984</v>
      </c>
      <c r="F4" s="63">
        <v>1919.3012267266984</v>
      </c>
      <c r="H4" s="6" t="s">
        <v>128</v>
      </c>
      <c r="I4" s="53">
        <f>DCF_Valuation!B11</f>
        <v>7.9225060802006725E-2</v>
      </c>
    </row>
    <row r="5" spans="1:9" x14ac:dyDescent="0.3">
      <c r="A5" s="71">
        <v>0.09</v>
      </c>
      <c r="B5" s="68">
        <v>1243.5844394973622</v>
      </c>
      <c r="C5" s="58">
        <v>1334.195271344749</v>
      </c>
      <c r="D5" s="58">
        <v>1441.2807998916617</v>
      </c>
      <c r="E5" s="58">
        <v>1569.7834341479563</v>
      </c>
      <c r="F5" s="59">
        <v>1726.8422093500938</v>
      </c>
      <c r="H5" s="6" t="s">
        <v>129</v>
      </c>
      <c r="I5" s="30">
        <f>Assumptions!B7</f>
        <v>2.5000000000000001E-2</v>
      </c>
    </row>
    <row r="6" spans="1:9" x14ac:dyDescent="0.3">
      <c r="A6" s="71">
        <v>9.5000000000000001E-2</v>
      </c>
      <c r="B6" s="68">
        <v>1166.3985349602701</v>
      </c>
      <c r="C6" s="58">
        <v>1244.4212302731582</v>
      </c>
      <c r="D6" s="58">
        <v>1335.4477081381942</v>
      </c>
      <c r="E6" s="58">
        <v>1443.0244547059638</v>
      </c>
      <c r="F6" s="59">
        <v>1572.1165505872871</v>
      </c>
    </row>
    <row r="7" spans="1:9" x14ac:dyDescent="0.3">
      <c r="A7" s="71">
        <v>0.1</v>
      </c>
      <c r="B7" s="68">
        <v>1099.0378768962455</v>
      </c>
      <c r="C7" s="58">
        <v>1166.9663117805253</v>
      </c>
      <c r="D7" s="58">
        <v>1245.3452751085406</v>
      </c>
      <c r="E7" s="58">
        <v>1336.7873989912252</v>
      </c>
      <c r="F7" s="59">
        <v>1444.8553635798519</v>
      </c>
      <c r="H7" s="73"/>
      <c r="I7" s="6" t="s">
        <v>130</v>
      </c>
    </row>
    <row r="8" spans="1:9" x14ac:dyDescent="0.3">
      <c r="A8" s="71">
        <v>0.105</v>
      </c>
      <c r="B8" s="68">
        <v>1039.6742401628003</v>
      </c>
      <c r="C8" s="58">
        <v>1099.3817905980166</v>
      </c>
      <c r="D8" s="58">
        <v>1167.6189910954067</v>
      </c>
      <c r="E8" s="58">
        <v>1246.3542224385492</v>
      </c>
      <c r="F8" s="59">
        <v>1338.2119923388821</v>
      </c>
      <c r="H8" s="74"/>
      <c r="I8" s="6" t="s">
        <v>131</v>
      </c>
    </row>
    <row r="9" spans="1:9" ht="15" thickBot="1" x14ac:dyDescent="0.35">
      <c r="A9" s="72">
        <v>0.11</v>
      </c>
      <c r="B9" s="69">
        <v>986.90909265501136</v>
      </c>
      <c r="C9" s="60">
        <v>1039.830610607971</v>
      </c>
      <c r="D9" s="60">
        <v>1099.8083309546594</v>
      </c>
      <c r="E9" s="60">
        <v>1168.3542970651597</v>
      </c>
      <c r="F9" s="61">
        <v>1247.4457964234296</v>
      </c>
    </row>
  </sheetData>
  <conditionalFormatting sqref="B4:F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1A2E-7A1D-43B9-AE8D-F6DC509F2F9C}">
  <dimension ref="A1:P9"/>
  <sheetViews>
    <sheetView workbookViewId="0">
      <selection activeCell="G14" sqref="G14"/>
    </sheetView>
  </sheetViews>
  <sheetFormatPr defaultRowHeight="14.4" x14ac:dyDescent="0.3"/>
  <cols>
    <col min="1" max="1" width="26.109375" bestFit="1" customWidth="1"/>
    <col min="2" max="2" width="15.109375" style="116" bestFit="1" customWidth="1"/>
    <col min="3" max="3" width="13.6640625" style="116" bestFit="1" customWidth="1"/>
    <col min="4" max="4" width="18.21875" style="116" bestFit="1" customWidth="1"/>
    <col min="5" max="5" width="13.77734375" style="116" bestFit="1" customWidth="1"/>
    <col min="6" max="6" width="6.21875" style="116" bestFit="1" customWidth="1"/>
    <col min="7" max="7" width="9.77734375" style="116" bestFit="1" customWidth="1"/>
    <col min="8" max="8" width="12.88671875" style="116" bestFit="1" customWidth="1"/>
    <col min="9" max="9" width="16" style="116" bestFit="1" customWidth="1"/>
    <col min="11" max="11" width="13.21875" bestFit="1" customWidth="1"/>
    <col min="12" max="12" width="11.6640625" style="112" bestFit="1" customWidth="1"/>
    <col min="13" max="13" width="11.77734375" bestFit="1" customWidth="1"/>
    <col min="14" max="14" width="14.109375" bestFit="1" customWidth="1"/>
    <col min="15" max="15" width="11.88671875" bestFit="1" customWidth="1"/>
    <col min="16" max="16" width="7.6640625" bestFit="1" customWidth="1"/>
  </cols>
  <sheetData>
    <row r="1" spans="1:16" x14ac:dyDescent="0.3">
      <c r="A1" s="110" t="s">
        <v>132</v>
      </c>
    </row>
    <row r="2" spans="1:16" ht="15" thickBot="1" x14ac:dyDescent="0.35"/>
    <row r="3" spans="1:16" x14ac:dyDescent="0.3">
      <c r="A3" s="130" t="s">
        <v>3</v>
      </c>
      <c r="B3" s="131" t="s">
        <v>36</v>
      </c>
      <c r="C3" s="131" t="s">
        <v>46</v>
      </c>
      <c r="D3" s="131" t="s">
        <v>59</v>
      </c>
      <c r="E3" s="131" t="s">
        <v>52</v>
      </c>
      <c r="F3" s="131" t="s">
        <v>111</v>
      </c>
      <c r="G3" s="131" t="s">
        <v>134</v>
      </c>
      <c r="H3" s="131" t="s">
        <v>121</v>
      </c>
      <c r="I3" s="132" t="s">
        <v>123</v>
      </c>
      <c r="K3" s="133" t="s">
        <v>139</v>
      </c>
      <c r="L3" s="134" t="s">
        <v>140</v>
      </c>
    </row>
    <row r="4" spans="1:16" x14ac:dyDescent="0.3">
      <c r="A4" s="126" t="s">
        <v>135</v>
      </c>
      <c r="B4" s="127">
        <v>0.15227659808088606</v>
      </c>
      <c r="C4" s="128">
        <v>8.1829310596898269E-2</v>
      </c>
      <c r="D4" s="127">
        <v>2.9662176350556024E-2</v>
      </c>
      <c r="E4" s="129">
        <v>63.480771636508138</v>
      </c>
      <c r="F4" s="127">
        <v>7.9225060802006725E-2</v>
      </c>
      <c r="G4" s="127">
        <v>2.5000000000000001E-2</v>
      </c>
      <c r="H4" s="119">
        <f ca="1">DCF_Valuation!B23</f>
        <v>1456.0143999051465</v>
      </c>
      <c r="I4" s="120">
        <f ca="1">(H4/DCF_Valuation!$B$24)-1</f>
        <v>3.0082984168070102</v>
      </c>
      <c r="K4" s="111" t="s">
        <v>141</v>
      </c>
      <c r="L4" s="113">
        <v>0.15227659808088606</v>
      </c>
      <c r="M4" s="24"/>
      <c r="N4" s="22"/>
      <c r="O4" s="24"/>
      <c r="P4" s="24"/>
    </row>
    <row r="5" spans="1:16" x14ac:dyDescent="0.3">
      <c r="A5" s="108" t="s">
        <v>136</v>
      </c>
      <c r="B5" s="117">
        <v>0.13227659808088607</v>
      </c>
      <c r="C5" s="117">
        <v>7.1829310596898274E-2</v>
      </c>
      <c r="D5" s="117">
        <v>3.9662176350556022E-2</v>
      </c>
      <c r="E5" s="118">
        <v>68.480771636508138</v>
      </c>
      <c r="F5" s="117">
        <v>8.922506080200672E-2</v>
      </c>
      <c r="G5" s="117">
        <v>0.02</v>
      </c>
      <c r="H5" s="119">
        <v>1004.68</v>
      </c>
      <c r="I5" s="120">
        <f ca="1">(H5/DCF_Valuation!$B$24)-1</f>
        <v>1.7658086717136956</v>
      </c>
      <c r="K5" s="108" t="s">
        <v>46</v>
      </c>
      <c r="L5" s="113">
        <v>8.1829310596898269E-2</v>
      </c>
    </row>
    <row r="6" spans="1:16" x14ac:dyDescent="0.3">
      <c r="A6" s="108" t="s">
        <v>137</v>
      </c>
      <c r="B6" s="117">
        <v>0.10227659808088606</v>
      </c>
      <c r="C6" s="117">
        <v>5.182931059689827E-2</v>
      </c>
      <c r="D6" s="117">
        <v>4.9662176350556024E-2</v>
      </c>
      <c r="E6" s="118">
        <v>73.480771636508138</v>
      </c>
      <c r="F6" s="117">
        <v>9.9225060802006729E-2</v>
      </c>
      <c r="G6" s="117">
        <v>1.5000000000000001E-2</v>
      </c>
      <c r="H6" s="119">
        <v>704.68</v>
      </c>
      <c r="I6" s="120">
        <f ca="1">(H6/DCF_Valuation!$B$24)-1</f>
        <v>0.93993117687542993</v>
      </c>
      <c r="K6" s="108" t="s">
        <v>142</v>
      </c>
      <c r="L6" s="113">
        <v>2.9662176350556024E-2</v>
      </c>
    </row>
    <row r="7" spans="1:16" ht="15" thickBot="1" x14ac:dyDescent="0.35">
      <c r="A7" s="109" t="s">
        <v>138</v>
      </c>
      <c r="B7" s="121">
        <v>0.18227659808088606</v>
      </c>
      <c r="C7" s="121">
        <v>9.6829310596898269E-2</v>
      </c>
      <c r="D7" s="121">
        <v>1.9662176350556025E-2</v>
      </c>
      <c r="E7" s="122">
        <v>58.480771636508138</v>
      </c>
      <c r="F7" s="121">
        <v>7.1725060802006718E-2</v>
      </c>
      <c r="G7" s="121">
        <v>3.0000000000000002E-2</v>
      </c>
      <c r="H7" s="123">
        <v>2124.19</v>
      </c>
      <c r="I7" s="124">
        <f ca="1">(H7/DCF_Valuation!$B$24)-1</f>
        <v>4.8477357192016521</v>
      </c>
      <c r="K7" s="108" t="s">
        <v>133</v>
      </c>
      <c r="L7" s="114">
        <v>63.480771636508138</v>
      </c>
    </row>
    <row r="8" spans="1:16" x14ac:dyDescent="0.3">
      <c r="K8" s="108" t="s">
        <v>111</v>
      </c>
      <c r="L8" s="113">
        <v>7.9225060802006725E-2</v>
      </c>
    </row>
    <row r="9" spans="1:16" ht="15" thickBot="1" x14ac:dyDescent="0.35">
      <c r="K9" s="109" t="s">
        <v>134</v>
      </c>
      <c r="L9" s="115">
        <v>2.5000000000000001E-2</v>
      </c>
    </row>
  </sheetData>
  <conditionalFormatting sqref="H4:H7">
    <cfRule type="colorScale" priority="3">
      <colorScale>
        <cfvo type="min"/>
        <cfvo type="percentile" val="50"/>
        <cfvo type="max"/>
        <color rgb="FFF8696B"/>
        <color rgb="FFFFEB84"/>
        <color rgb="FF63BE7B"/>
      </colorScale>
    </cfRule>
  </conditionalFormatting>
  <conditionalFormatting sqref="I4:I7">
    <cfRule type="cellIs" dxfId="5" priority="1" operator="greaterThan">
      <formula>0</formula>
    </cfRule>
    <cfRule type="cellIs" dxfId="4" priority="2" operator="lessThan">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570E-916E-4D60-BA35-A0FE2C8BCBB8}">
  <dimension ref="A1:I29"/>
  <sheetViews>
    <sheetView showGridLines="0" zoomScale="90" zoomScaleNormal="110" workbookViewId="0">
      <selection activeCell="D5" sqref="D5"/>
    </sheetView>
  </sheetViews>
  <sheetFormatPr defaultRowHeight="14.4" x14ac:dyDescent="0.3"/>
  <cols>
    <col min="1" max="1" width="31.5546875" style="19" bestFit="1" customWidth="1"/>
    <col min="2" max="2" width="16.109375" style="19" bestFit="1" customWidth="1"/>
    <col min="3" max="3" width="14.21875" style="19" bestFit="1" customWidth="1"/>
    <col min="4" max="4" width="19.109375" style="19" bestFit="1" customWidth="1"/>
    <col min="5" max="5" width="14.33203125" style="19" bestFit="1" customWidth="1"/>
    <col min="6" max="6" width="6.44140625" style="19" bestFit="1" customWidth="1"/>
    <col min="7" max="7" width="10.21875" style="19" bestFit="1" customWidth="1"/>
    <col min="8" max="8" width="13.5546875" style="19" bestFit="1" customWidth="1"/>
    <col min="9" max="9" width="16.88671875" style="19" bestFit="1" customWidth="1"/>
    <col min="10" max="16384" width="8.88671875" style="15"/>
  </cols>
  <sheetData>
    <row r="1" spans="1:8" s="15" customFormat="1" ht="23.4" x14ac:dyDescent="0.3">
      <c r="A1" s="142" t="s">
        <v>143</v>
      </c>
      <c r="B1" s="142"/>
      <c r="C1" s="142"/>
      <c r="D1" s="142"/>
      <c r="E1" s="89"/>
      <c r="F1" s="89"/>
      <c r="G1" s="89"/>
      <c r="H1" s="89"/>
    </row>
    <row r="2" spans="1:8" s="15" customFormat="1" x14ac:dyDescent="0.3">
      <c r="A2" s="141" t="s">
        <v>144</v>
      </c>
      <c r="B2" s="141"/>
      <c r="C2" s="141"/>
      <c r="D2" s="141"/>
    </row>
    <row r="3" spans="1:8" s="15" customFormat="1" ht="15" thickBot="1" x14ac:dyDescent="0.35"/>
    <row r="4" spans="1:8" s="15" customFormat="1" ht="15" thickBot="1" x14ac:dyDescent="0.35">
      <c r="A4" s="93" t="s">
        <v>145</v>
      </c>
      <c r="B4" s="125" t="str">
        <f>Control!B5</f>
        <v>Severe Downside</v>
      </c>
    </row>
    <row r="5" spans="1:8" s="15" customFormat="1" x14ac:dyDescent="0.3"/>
    <row r="6" spans="1:8" s="15" customFormat="1" x14ac:dyDescent="0.3"/>
    <row r="7" spans="1:8" s="15" customFormat="1" ht="15" thickBot="1" x14ac:dyDescent="0.35"/>
    <row r="8" spans="1:8" s="15" customFormat="1" ht="18" x14ac:dyDescent="0.3">
      <c r="A8" s="90" t="s">
        <v>146</v>
      </c>
      <c r="B8" s="104">
        <f>CHOOSE(MATCH(Control!B5,{"Base Case","Mild Downside","Severe Downside","Upside"},0),Stress_Test!H4,Stress_Test!H5,Stress_Test!H6,Stress_Test!H7)</f>
        <v>704.68</v>
      </c>
      <c r="D8" s="94" t="s">
        <v>148</v>
      </c>
      <c r="E8" s="95"/>
    </row>
    <row r="9" spans="1:8" s="15" customFormat="1" x14ac:dyDescent="0.3">
      <c r="A9" s="91" t="s">
        <v>147</v>
      </c>
      <c r="B9" s="105">
        <f ca="1">DCF_Valuation!B24</f>
        <v>363.25</v>
      </c>
      <c r="D9" s="96" t="s">
        <v>36</v>
      </c>
      <c r="E9" s="97">
        <f>CHOOSE(MATCH(Control!$B$5,{"Base Case","Mild Downside","Severe Downside","Upside"},0),Stress_Test!B4,Stress_Test!B5,Stress_Test!B6,Stress_Test!B7)</f>
        <v>0.10227659808088606</v>
      </c>
    </row>
    <row r="10" spans="1:8" s="15" customFormat="1" ht="15" thickBot="1" x14ac:dyDescent="0.35">
      <c r="A10" s="92" t="s">
        <v>123</v>
      </c>
      <c r="B10" s="106">
        <f ca="1">(B8/B9)-1</f>
        <v>0.93993117687542993</v>
      </c>
      <c r="D10" s="96" t="s">
        <v>46</v>
      </c>
      <c r="E10" s="97">
        <f>CHOOSE(MATCH(Control!B5,{"Base Case","Mild Downside","Severe Downside","Upside"},0),Stress_Test!C4,Stress_Test!C5,Stress_Test!C6,Stress_Test!C7)</f>
        <v>5.182931059689827E-2</v>
      </c>
    </row>
    <row r="11" spans="1:8" s="15" customFormat="1" x14ac:dyDescent="0.3">
      <c r="D11" s="96" t="s">
        <v>59</v>
      </c>
      <c r="E11" s="97">
        <f>CHOOSE(MATCH(Control!B5,{"Base Case","Mild Downside","Severe Downside","Upside"},0),Stress_Test!D4,Stress_Test!D5,Stress_Test!D6,Stress_Test!D7)</f>
        <v>4.9662176350556024E-2</v>
      </c>
    </row>
    <row r="12" spans="1:8" s="15" customFormat="1" x14ac:dyDescent="0.3">
      <c r="D12" s="96" t="s">
        <v>52</v>
      </c>
      <c r="E12" s="98">
        <f>CHOOSE(MATCH(Control!B5,{"Base Case","Mild Downside","Severe Downside","Upside"},0),Stress_Test!E4,Stress_Test!E5,Stress_Test!E6,Stress_Test!E7)</f>
        <v>73.480771636508138</v>
      </c>
    </row>
    <row r="13" spans="1:8" s="15" customFormat="1" x14ac:dyDescent="0.3">
      <c r="D13" s="96" t="s">
        <v>111</v>
      </c>
      <c r="E13" s="97">
        <f>CHOOSE(MATCH(Control!B5,{"Base Case","Mild Downside","Severe Downside","Upside"},0),Stress_Test!F4,Stress_Test!F5,Stress_Test!F6,Stress_Test!F7)</f>
        <v>9.9225060802006729E-2</v>
      </c>
    </row>
    <row r="14" spans="1:8" s="15" customFormat="1" ht="15" thickBot="1" x14ac:dyDescent="0.35">
      <c r="D14" s="99" t="s">
        <v>134</v>
      </c>
      <c r="E14" s="100">
        <f>CHOOSE(
   MATCH(Control!B5,
         {"Base Case","Mild Downside","Severe Downside","Upside"}, 0),
   Stress_Test!G4,
   Stress_Test!G5,
   Stress_Test!G6,
   Stress_Test!G7
)</f>
        <v>1.5000000000000001E-2</v>
      </c>
    </row>
    <row r="15" spans="1:8" s="15" customFormat="1" x14ac:dyDescent="0.3"/>
    <row r="16" spans="1:8" s="15" customFormat="1" x14ac:dyDescent="0.3">
      <c r="A16" s="14" t="s">
        <v>149</v>
      </c>
    </row>
    <row r="17" spans="1:9" ht="15" thickBot="1" x14ac:dyDescent="0.35">
      <c r="A17" s="15"/>
      <c r="B17" s="15"/>
      <c r="C17" s="15"/>
      <c r="D17" s="15"/>
      <c r="E17" s="15"/>
      <c r="F17" s="15"/>
      <c r="G17" s="15"/>
      <c r="H17" s="15"/>
      <c r="I17" s="15"/>
    </row>
    <row r="18" spans="1:9" ht="15" thickBot="1" x14ac:dyDescent="0.35">
      <c r="A18" s="77" t="str">
        <f>Stress_Test!A3</f>
        <v>Scenario</v>
      </c>
      <c r="B18" s="78" t="str">
        <f>Stress_Test!B3</f>
        <v>Revenue Growth</v>
      </c>
      <c r="C18" s="78" t="str">
        <f>Stress_Test!C3</f>
        <v>EBITDA Margin</v>
      </c>
      <c r="D18" s="78" t="str">
        <f>Stress_Test!D3</f>
        <v>Capex % of Revenue</v>
      </c>
      <c r="E18" s="78" t="str">
        <f>Stress_Test!E3</f>
        <v>Inventory Days</v>
      </c>
      <c r="F18" s="78" t="str">
        <f>Stress_Test!F3</f>
        <v>WACC</v>
      </c>
      <c r="G18" s="78" t="str">
        <f>Stress_Test!G3</f>
        <v>Terminal g</v>
      </c>
      <c r="H18" s="78" t="str">
        <f>Stress_Test!H3</f>
        <v>Intrinsic Value</v>
      </c>
      <c r="I18" s="79" t="str">
        <f>Stress_Test!I3</f>
        <v>Upside/Downside</v>
      </c>
    </row>
    <row r="19" spans="1:9" x14ac:dyDescent="0.3">
      <c r="A19" s="101" t="str">
        <f>Stress_Test!A4</f>
        <v>Base Case</v>
      </c>
      <c r="B19" s="80">
        <f>Stress_Test!B4</f>
        <v>0.15227659808088606</v>
      </c>
      <c r="C19" s="80">
        <f>Stress_Test!C4</f>
        <v>8.1829310596898269E-2</v>
      </c>
      <c r="D19" s="80">
        <f>Stress_Test!D4</f>
        <v>2.9662176350556024E-2</v>
      </c>
      <c r="E19" s="81">
        <f>Stress_Test!E4</f>
        <v>63.480771636508138</v>
      </c>
      <c r="F19" s="80">
        <f>Stress_Test!F4</f>
        <v>7.9225060802006725E-2</v>
      </c>
      <c r="G19" s="80">
        <f>Stress_Test!G4</f>
        <v>2.5000000000000001E-2</v>
      </c>
      <c r="H19" s="81">
        <f ca="1">Stress_Test!H4</f>
        <v>1456.0143999051465</v>
      </c>
      <c r="I19" s="82">
        <f ca="1">Stress_Test!I4</f>
        <v>3.0082984168070102</v>
      </c>
    </row>
    <row r="20" spans="1:9" x14ac:dyDescent="0.3">
      <c r="A20" s="102" t="str">
        <f>Stress_Test!A5</f>
        <v>Mild Downside</v>
      </c>
      <c r="B20" s="83">
        <f>Stress_Test!B5</f>
        <v>0.13227659808088607</v>
      </c>
      <c r="C20" s="83">
        <f>Stress_Test!C5</f>
        <v>7.1829310596898274E-2</v>
      </c>
      <c r="D20" s="83">
        <f>Stress_Test!D5</f>
        <v>3.9662176350556022E-2</v>
      </c>
      <c r="E20" s="84">
        <f>Stress_Test!E5</f>
        <v>68.480771636508138</v>
      </c>
      <c r="F20" s="83">
        <f>Stress_Test!F5</f>
        <v>8.922506080200672E-2</v>
      </c>
      <c r="G20" s="83">
        <f>Stress_Test!G5</f>
        <v>0.02</v>
      </c>
      <c r="H20" s="84">
        <f>Stress_Test!H5</f>
        <v>1004.68</v>
      </c>
      <c r="I20" s="85">
        <f ca="1">Stress_Test!I5</f>
        <v>1.7658086717136956</v>
      </c>
    </row>
    <row r="21" spans="1:9" x14ac:dyDescent="0.3">
      <c r="A21" s="102" t="str">
        <f>Stress_Test!A6</f>
        <v>Severe Downside</v>
      </c>
      <c r="B21" s="83">
        <f>Stress_Test!B6</f>
        <v>0.10227659808088606</v>
      </c>
      <c r="C21" s="83">
        <f>Stress_Test!C6</f>
        <v>5.182931059689827E-2</v>
      </c>
      <c r="D21" s="83">
        <f>Stress_Test!D6</f>
        <v>4.9662176350556024E-2</v>
      </c>
      <c r="E21" s="84">
        <f>Stress_Test!E6</f>
        <v>73.480771636508138</v>
      </c>
      <c r="F21" s="83">
        <f>Stress_Test!F6</f>
        <v>9.9225060802006729E-2</v>
      </c>
      <c r="G21" s="83">
        <f>Stress_Test!G6</f>
        <v>1.5000000000000001E-2</v>
      </c>
      <c r="H21" s="84">
        <f>Stress_Test!H6</f>
        <v>704.68</v>
      </c>
      <c r="I21" s="85">
        <f ca="1">Stress_Test!I6</f>
        <v>0.93993117687542993</v>
      </c>
    </row>
    <row r="22" spans="1:9" ht="15" thickBot="1" x14ac:dyDescent="0.35">
      <c r="A22" s="103" t="str">
        <f>Stress_Test!A7</f>
        <v>Upside</v>
      </c>
      <c r="B22" s="86">
        <f>Stress_Test!B7</f>
        <v>0.18227659808088606</v>
      </c>
      <c r="C22" s="86">
        <f>Stress_Test!C7</f>
        <v>9.6829310596898269E-2</v>
      </c>
      <c r="D22" s="86">
        <f>Stress_Test!D7</f>
        <v>1.9662176350556025E-2</v>
      </c>
      <c r="E22" s="87">
        <f>Stress_Test!E7</f>
        <v>58.480771636508138</v>
      </c>
      <c r="F22" s="86">
        <f>Stress_Test!F7</f>
        <v>7.1725060802006718E-2</v>
      </c>
      <c r="G22" s="86">
        <f>Stress_Test!G7</f>
        <v>3.0000000000000002E-2</v>
      </c>
      <c r="H22" s="87">
        <f>Stress_Test!H7</f>
        <v>2124.19</v>
      </c>
      <c r="I22" s="88">
        <f ca="1">Stress_Test!I7</f>
        <v>4.8477357192016521</v>
      </c>
    </row>
    <row r="23" spans="1:9" x14ac:dyDescent="0.3">
      <c r="A23" s="15"/>
      <c r="B23" s="15"/>
      <c r="C23" s="15"/>
      <c r="D23" s="15"/>
      <c r="E23" s="15"/>
      <c r="F23" s="15"/>
      <c r="G23" s="15"/>
      <c r="H23" s="15"/>
      <c r="I23" s="15"/>
    </row>
    <row r="24" spans="1:9" ht="16.2" thickBot="1" x14ac:dyDescent="0.35">
      <c r="A24" s="107" t="s">
        <v>150</v>
      </c>
      <c r="B24" s="15"/>
      <c r="C24" s="15"/>
      <c r="D24" s="15"/>
      <c r="E24" s="15"/>
      <c r="F24" s="15"/>
      <c r="G24" s="15"/>
      <c r="H24" s="15"/>
      <c r="I24" s="15"/>
    </row>
    <row r="25" spans="1:9" x14ac:dyDescent="0.3">
      <c r="A25" s="143" t="s">
        <v>151</v>
      </c>
      <c r="B25" s="144"/>
      <c r="C25" s="144"/>
      <c r="D25" s="144"/>
      <c r="E25" s="144"/>
      <c r="F25" s="144"/>
      <c r="G25" s="144"/>
      <c r="H25" s="144"/>
      <c r="I25" s="145"/>
    </row>
    <row r="26" spans="1:9" ht="31.8" customHeight="1" x14ac:dyDescent="0.3">
      <c r="A26" s="135" t="s">
        <v>152</v>
      </c>
      <c r="B26" s="136"/>
      <c r="C26" s="136"/>
      <c r="D26" s="136"/>
      <c r="E26" s="136"/>
      <c r="F26" s="136"/>
      <c r="G26" s="136"/>
      <c r="H26" s="136"/>
      <c r="I26" s="137"/>
    </row>
    <row r="27" spans="1:9" x14ac:dyDescent="0.3">
      <c r="A27" s="135" t="s">
        <v>153</v>
      </c>
      <c r="B27" s="136"/>
      <c r="C27" s="136"/>
      <c r="D27" s="136"/>
      <c r="E27" s="136"/>
      <c r="F27" s="136"/>
      <c r="G27" s="136"/>
      <c r="H27" s="136"/>
      <c r="I27" s="137"/>
    </row>
    <row r="28" spans="1:9" x14ac:dyDescent="0.3">
      <c r="A28" s="135" t="s">
        <v>154</v>
      </c>
      <c r="B28" s="136"/>
      <c r="C28" s="136"/>
      <c r="D28" s="136"/>
      <c r="E28" s="136"/>
      <c r="F28" s="136"/>
      <c r="G28" s="136"/>
      <c r="H28" s="136"/>
      <c r="I28" s="137"/>
    </row>
    <row r="29" spans="1:9" ht="33.6" customHeight="1" thickBot="1" x14ac:dyDescent="0.35">
      <c r="A29" s="138" t="s">
        <v>155</v>
      </c>
      <c r="B29" s="139"/>
      <c r="C29" s="139"/>
      <c r="D29" s="139"/>
      <c r="E29" s="139"/>
      <c r="F29" s="139"/>
      <c r="G29" s="139"/>
      <c r="H29" s="139"/>
      <c r="I29" s="140"/>
    </row>
  </sheetData>
  <mergeCells count="7">
    <mergeCell ref="A28:I28"/>
    <mergeCell ref="A29:I29"/>
    <mergeCell ref="A2:D2"/>
    <mergeCell ref="A1:D1"/>
    <mergeCell ref="A25:I25"/>
    <mergeCell ref="A26:I26"/>
    <mergeCell ref="A27:I27"/>
  </mergeCells>
  <conditionalFormatting sqref="B10">
    <cfRule type="cellIs" dxfId="3" priority="4" operator="lessThan">
      <formula>0</formula>
    </cfRule>
    <cfRule type="cellIs" dxfId="2" priority="5" operator="greaterThan">
      <formula>0</formula>
    </cfRule>
  </conditionalFormatting>
  <conditionalFormatting sqref="H19:H22">
    <cfRule type="colorScale" priority="3">
      <colorScale>
        <cfvo type="min"/>
        <cfvo type="percentile" val="50"/>
        <cfvo type="max"/>
        <color rgb="FFF8696B"/>
        <color rgb="FFFFEB84"/>
        <color rgb="FF63BE7B"/>
      </colorScale>
    </cfRule>
  </conditionalFormatting>
  <conditionalFormatting sqref="I19:I22">
    <cfRule type="cellIs" dxfId="1" priority="1" operator="lessThan">
      <formula>0</formula>
    </cfRule>
    <cfRule type="cellIs" dxfId="0" priority="2"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Control</vt:lpstr>
      <vt:lpstr>Assumptions</vt:lpstr>
      <vt:lpstr>Revenue_Drivers</vt:lpstr>
      <vt:lpstr>Operating_Costs</vt:lpstr>
      <vt:lpstr>Working_Capital</vt:lpstr>
      <vt:lpstr>Capex_Depreciation</vt:lpstr>
      <vt:lpstr>Debt_Interest</vt:lpstr>
      <vt:lpstr>Income_Statement</vt:lpstr>
      <vt:lpstr>Balance_Sheet</vt:lpstr>
      <vt:lpstr>Cash_Flow</vt:lpstr>
      <vt:lpstr>WACC</vt:lpstr>
      <vt:lpstr>DCF_Valuation</vt:lpstr>
      <vt:lpstr>Sensitivity</vt:lpstr>
      <vt:lpstr>Stress_Test</vt:lpstr>
      <vt:lpstr>Output_Dashboard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2025-12-23T16:40:20Z</dcterms:modified>
</cp:coreProperties>
</file>