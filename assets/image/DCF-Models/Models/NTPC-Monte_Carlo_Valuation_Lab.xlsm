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2.xml" ContentType="application/vnd.openxmlformats-officedocument.themeOverrid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426" codeName="{DD97A8EA-9A9A-E61F-A557-7D5A7D7259CE}"/>
  <workbookPr codeName="ThisWorkbook"/>
  <mc:AlternateContent xmlns:mc="http://schemas.openxmlformats.org/markup-compatibility/2006">
    <mc:Choice Requires="x15">
      <x15ac:absPath xmlns:x15ac="http://schemas.microsoft.com/office/spreadsheetml/2010/11/ac" url="D:\Music\Job &amp; Future\Future\Blogs &amp; Future\Aurex Research\Advanced Models\"/>
    </mc:Choice>
  </mc:AlternateContent>
  <xr:revisionPtr revIDLastSave="0" documentId="13_ncr:1_{8EAF7DDA-6D9D-44D1-8213-05790791B9F2}" xr6:coauthVersionLast="47" xr6:coauthVersionMax="47" xr10:uidLastSave="{00000000-0000-0000-0000-000000000000}"/>
  <bookViews>
    <workbookView xWindow="-96" yWindow="0" windowWidth="14016" windowHeight="12336" firstSheet="5" activeTab="6" xr2:uid="{00000000-000D-0000-FFFF-FFFF00000000}"/>
  </bookViews>
  <sheets>
    <sheet name="Cover" sheetId="1" r:id="rId1"/>
    <sheet name="Control_Panel" sheetId="2" r:id="rId2"/>
    <sheet name="Base_Assumptions" sheetId="3" r:id="rId3"/>
    <sheet name="Drivers_Distributions" sheetId="4" r:id="rId4"/>
    <sheet name="Operating_Model" sheetId="5" r:id="rId5"/>
    <sheet name="DCF_Valuation" sheetId="6" r:id="rId6"/>
    <sheet name="WACC_Buildup" sheetId="7" r:id="rId7"/>
    <sheet name="MonteCarlo_Engine" sheetId="8" r:id="rId8"/>
    <sheet name="MonteCarlo_Results" sheetId="9" r:id="rId9"/>
    <sheet name="Checks_MC" sheetId="10" r:id="rId10"/>
    <sheet name="MC_Summary" sheetId="11" r:id="rId11"/>
    <sheet name="Output_Dashboard" sheetId="12" r:id="rId1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11" i="12" l="1"/>
  <c r="O8" i="12"/>
  <c r="D10" i="10"/>
  <c r="E10" i="10" s="1"/>
  <c r="D6" i="10"/>
  <c r="C17" i="12"/>
  <c r="D5" i="10"/>
  <c r="J6" i="9"/>
  <c r="J5" i="9" a="1"/>
  <c r="J5" i="9" s="1"/>
  <c r="H8" i="9"/>
  <c r="C16" i="11" s="1"/>
  <c r="B20" i="2" a="1"/>
  <c r="B20" i="2" s="1"/>
  <c r="E6" i="12" s="1"/>
  <c r="D14" i="9"/>
  <c r="J47" i="9" s="1"/>
  <c r="J5" i="11" s="1"/>
  <c r="D13" i="9"/>
  <c r="D12" i="9"/>
  <c r="D11" i="9"/>
  <c r="B47" i="9" s="1"/>
  <c r="B5" i="11" s="1"/>
  <c r="D10" i="9"/>
  <c r="D11" i="10" s="1"/>
  <c r="E11" i="10" s="1"/>
  <c r="D9" i="9"/>
  <c r="D8" i="9"/>
  <c r="D7" i="9"/>
  <c r="D6" i="9"/>
  <c r="H11" i="9" s="1"/>
  <c r="C19" i="11" s="1"/>
  <c r="C8" i="8"/>
  <c r="E8" i="8"/>
  <c r="C9" i="8"/>
  <c r="E9" i="8"/>
  <c r="C10" i="8"/>
  <c r="E10" i="8"/>
  <c r="C11" i="8"/>
  <c r="E11" i="8"/>
  <c r="C12" i="8"/>
  <c r="E12" i="8"/>
  <c r="C13" i="8"/>
  <c r="E13" i="8"/>
  <c r="C14" i="8"/>
  <c r="E14" i="8"/>
  <c r="B8" i="8"/>
  <c r="B9" i="8"/>
  <c r="B10" i="8"/>
  <c r="B11" i="8"/>
  <c r="B12" i="8"/>
  <c r="B13" i="8"/>
  <c r="B14" i="8"/>
  <c r="A9" i="8"/>
  <c r="A10" i="8"/>
  <c r="A11" i="8"/>
  <c r="A12" i="8"/>
  <c r="A13" i="8"/>
  <c r="A14" i="8"/>
  <c r="A8" i="8"/>
  <c r="C7" i="8"/>
  <c r="E7" i="8"/>
  <c r="B7" i="8"/>
  <c r="C27" i="6"/>
  <c r="C22" i="7" a="1"/>
  <c r="C22" i="7" s="1"/>
  <c r="K9" i="7" s="1"/>
  <c r="C15" i="7"/>
  <c r="C16" i="7" s="1"/>
  <c r="C18" i="7" s="1"/>
  <c r="K8" i="7" s="1"/>
  <c r="C7" i="7"/>
  <c r="C6" i="7"/>
  <c r="C29" i="6" a="1"/>
  <c r="C29" i="6" s="1"/>
  <c r="C25" i="3"/>
  <c r="C16" i="3"/>
  <c r="B12" i="4" s="1"/>
  <c r="D9" i="8" s="1"/>
  <c r="C34" i="3" a="1"/>
  <c r="C34" i="3" s="1"/>
  <c r="C35" i="3" s="1"/>
  <c r="C9" i="7" s="1"/>
  <c r="K7" i="7" s="1"/>
  <c r="C11" i="3"/>
  <c r="B7" i="2" a="1"/>
  <c r="B7" i="2" s="1"/>
  <c r="O16" i="12" l="1"/>
  <c r="O17" i="12" s="1"/>
  <c r="O7" i="12"/>
  <c r="O10" i="12"/>
  <c r="M32" i="12"/>
  <c r="M37" i="12"/>
  <c r="M27" i="12"/>
  <c r="D12" i="10"/>
  <c r="E12" i="10" s="1"/>
  <c r="D8" i="10"/>
  <c r="E8" i="10" s="1"/>
  <c r="F47" i="9"/>
  <c r="F5" i="11" s="1"/>
  <c r="H9" i="9"/>
  <c r="C17" i="11" s="1"/>
  <c r="H6" i="9"/>
  <c r="C14" i="11" s="1"/>
  <c r="H7" i="9"/>
  <c r="C15" i="11" s="1"/>
  <c r="O9" i="12" s="1"/>
  <c r="F9" i="8"/>
  <c r="C23" i="7"/>
  <c r="C8" i="7"/>
  <c r="D9" i="10" l="1"/>
  <c r="E9" i="10" s="1"/>
  <c r="C28" i="7"/>
  <c r="K10" i="7"/>
  <c r="C24" i="7"/>
  <c r="C29" i="7" l="1"/>
  <c r="B27" i="2" s="1"/>
  <c r="N18" i="12"/>
  <c r="K13" i="7" l="1"/>
  <c r="D7" i="8"/>
  <c r="F7" i="8" s="1"/>
  <c r="B18" i="8" s="1"/>
  <c r="K6" i="8" l="1" a="1"/>
  <c r="K6" i="8" s="1"/>
  <c r="C10" i="3" s="1"/>
  <c r="C7" i="5" l="1"/>
  <c r="C17" i="5" s="1"/>
  <c r="C15" i="12"/>
  <c r="B10" i="4"/>
  <c r="C18" i="5" l="1"/>
  <c r="C19" i="5" s="1"/>
  <c r="D7" i="5"/>
  <c r="D18" i="5" s="1"/>
  <c r="C11" i="5"/>
  <c r="D17" i="5" l="1"/>
  <c r="D19" i="5" s="1"/>
  <c r="D11" i="5"/>
  <c r="E7" i="5"/>
  <c r="E11" i="5" s="1"/>
  <c r="E18" i="5" l="1"/>
  <c r="E17" i="5"/>
  <c r="F7" i="5"/>
  <c r="F18" i="5" s="1"/>
  <c r="F17" i="5" l="1"/>
  <c r="F19" i="5" s="1"/>
  <c r="F11" i="5"/>
  <c r="E19" i="5"/>
  <c r="G7" i="5"/>
  <c r="G11" i="5" s="1"/>
  <c r="G18" i="5" l="1"/>
  <c r="G17" i="5"/>
  <c r="G19" i="5" l="1"/>
  <c r="D12" i="8"/>
  <c r="F12" i="8" s="1"/>
  <c r="F18" i="8" s="1"/>
  <c r="K10" i="8" l="1" a="1"/>
  <c r="K10" i="8" s="1"/>
  <c r="C36" i="3" s="1"/>
  <c r="O18" i="12"/>
  <c r="K11" i="6" l="1"/>
  <c r="C19" i="12"/>
  <c r="C15" i="6"/>
  <c r="G8" i="6"/>
  <c r="F8" i="6"/>
  <c r="E8" i="6"/>
  <c r="C8" i="6"/>
  <c r="D8" i="6"/>
  <c r="B15" i="4"/>
  <c r="D14" i="8"/>
  <c r="F14" i="8" s="1"/>
  <c r="H18" i="8" s="1"/>
  <c r="D8" i="8"/>
  <c r="F8" i="8" s="1"/>
  <c r="C18" i="8" s="1"/>
  <c r="D13" i="8"/>
  <c r="F13" i="8" s="1"/>
  <c r="G18" i="8" s="1"/>
  <c r="O19" i="12" s="1"/>
  <c r="D10" i="8"/>
  <c r="F10" i="8" s="1"/>
  <c r="D18" i="8" s="1"/>
  <c r="D11" i="8"/>
  <c r="F11" i="8" s="1"/>
  <c r="E18" i="8" s="1"/>
  <c r="K11" i="8" l="1" a="1"/>
  <c r="K11" i="8" s="1"/>
  <c r="C40" i="3" s="1"/>
  <c r="K8" i="8" a="1"/>
  <c r="K8" i="8" s="1"/>
  <c r="C24" i="3" s="1"/>
  <c r="B13" i="4" s="1"/>
  <c r="K7" i="8" a="1"/>
  <c r="K7" i="8" s="1"/>
  <c r="C15" i="3" s="1"/>
  <c r="K9" i="8" a="1"/>
  <c r="K9" i="8" s="1"/>
  <c r="C26" i="3" s="1"/>
  <c r="K12" i="8" a="1"/>
  <c r="K12" i="8" s="1"/>
  <c r="C41" i="3" s="1"/>
  <c r="B17" i="4" l="1"/>
  <c r="C21" i="12"/>
  <c r="B16" i="4"/>
  <c r="C20" i="12"/>
  <c r="B14" i="4"/>
  <c r="C18" i="12"/>
  <c r="B11" i="4"/>
  <c r="C16" i="12"/>
  <c r="K12" i="6"/>
  <c r="N19" i="12" s="1"/>
  <c r="D10" i="5"/>
  <c r="D25" i="5" s="1"/>
  <c r="C17" i="3"/>
  <c r="C19" i="3" s="1"/>
  <c r="F10" i="5"/>
  <c r="F25" i="5" s="1"/>
  <c r="G10" i="5"/>
  <c r="G25" i="5" s="1"/>
  <c r="C10" i="5"/>
  <c r="C12" i="5" s="1"/>
  <c r="E10" i="5"/>
  <c r="E25" i="5" s="1"/>
  <c r="D12" i="5" l="1"/>
  <c r="D13" i="5" s="1"/>
  <c r="D14" i="5" s="1"/>
  <c r="D22" i="5" s="1"/>
  <c r="G12" i="5"/>
  <c r="G26" i="5" s="1"/>
  <c r="C25" i="5"/>
  <c r="E12" i="5"/>
  <c r="E13" i="5" s="1"/>
  <c r="E14" i="5" s="1"/>
  <c r="E22" i="5" s="1"/>
  <c r="F12" i="5"/>
  <c r="F13" i="5" s="1"/>
  <c r="F14" i="5" s="1"/>
  <c r="F22" i="5" s="1"/>
  <c r="C13" i="5"/>
  <c r="C14" i="5" s="1"/>
  <c r="C22" i="5" s="1"/>
  <c r="C26" i="5"/>
  <c r="E26" i="5" l="1"/>
  <c r="D26" i="5"/>
  <c r="G13" i="5"/>
  <c r="G14" i="5" s="1"/>
  <c r="G22" i="5" s="1"/>
  <c r="G27" i="5" s="1"/>
  <c r="F26" i="5"/>
  <c r="E7" i="6"/>
  <c r="E9" i="6" s="1"/>
  <c r="E27" i="5"/>
  <c r="D7" i="6"/>
  <c r="D9" i="6" s="1"/>
  <c r="D27" i="5"/>
  <c r="C27" i="5"/>
  <c r="C7" i="6"/>
  <c r="C9" i="6" s="1"/>
  <c r="F27" i="5"/>
  <c r="F7" i="6"/>
  <c r="F9" i="6" s="1"/>
  <c r="G7" i="6" l="1"/>
  <c r="C13" i="6" s="1"/>
  <c r="C14" i="6" s="1"/>
  <c r="C16" i="6" s="1"/>
  <c r="C21" i="6" s="1"/>
  <c r="G9" i="6" l="1"/>
  <c r="C20" i="6" s="1"/>
  <c r="C22" i="6" s="1"/>
  <c r="C26" i="6" s="1"/>
  <c r="C28" i="6" l="1"/>
  <c r="K7" i="6"/>
  <c r="C30" i="6" l="1"/>
  <c r="N16" i="12" s="1"/>
  <c r="N17" i="12" s="1"/>
  <c r="K8" i="6"/>
  <c r="A6" i="12" l="1"/>
  <c r="I18" i="8"/>
  <c r="H10" i="9"/>
  <c r="C18" i="11" s="1"/>
  <c r="K9" i="6"/>
  <c r="I6" i="12" l="1"/>
  <c r="D7" i="10"/>
  <c r="E6" i="10" s="1"/>
  <c r="E5" i="10"/>
  <c r="B18" i="9"/>
  <c r="B19" i="9" s="1"/>
  <c r="C18" i="9" l="1"/>
  <c r="B20" i="9"/>
  <c r="C19" i="9" l="1"/>
  <c r="B21" i="9"/>
  <c r="C20" i="9" l="1"/>
  <c r="B22" i="9"/>
  <c r="C21" i="9" s="1"/>
  <c r="B23" i="9" l="1"/>
  <c r="C22" i="9" l="1"/>
  <c r="B24" i="9"/>
  <c r="C23" i="9" l="1"/>
  <c r="B25" i="9"/>
  <c r="C24" i="9" l="1"/>
  <c r="B26" i="9"/>
  <c r="C25" i="9" l="1"/>
  <c r="B27" i="9"/>
  <c r="C26" i="9" l="1"/>
  <c r="B28" i="9"/>
  <c r="C27" i="9" l="1"/>
  <c r="B29" i="9"/>
  <c r="C28" i="9" l="1"/>
  <c r="B30" i="9"/>
  <c r="C29" i="9" l="1"/>
  <c r="B31" i="9"/>
  <c r="C30" i="9" l="1"/>
  <c r="B32" i="9"/>
  <c r="C31" i="9" l="1"/>
  <c r="B33" i="9"/>
  <c r="C32" i="9" l="1"/>
  <c r="B34" i="9"/>
  <c r="C33" i="9" l="1"/>
  <c r="B35" i="9"/>
  <c r="C35" i="9" s="1"/>
  <c r="C34" i="9"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
    <bk>
      <extLst>
        <ext uri="{3e2802c4-a4d2-4d8b-9148-e3be6c30e623}">
          <xlrd:rvb i="0"/>
        </ext>
      </extLst>
    </bk>
    <bk>
      <extLst>
        <ext uri="{3e2802c4-a4d2-4d8b-9148-e3be6c30e623}">
          <xlrd:rvb i="1"/>
        </ext>
      </extLst>
    </bk>
    <bk>
      <extLst>
        <ext uri="{3e2802c4-a4d2-4d8b-9148-e3be6c30e623}">
          <xlrd:rvb i="4"/>
        </ext>
      </extLst>
    </bk>
  </futureMetadata>
  <cellMetadata count="1">
    <bk>
      <rc t="1" v="0"/>
    </bk>
  </cellMetadata>
  <valueMetadata count="3">
    <bk>
      <rc t="2" v="0"/>
    </bk>
    <bk>
      <rc t="2" v="1"/>
    </bk>
    <bk>
      <rc t="2" v="2"/>
    </bk>
  </valueMetadata>
</metadata>
</file>

<file path=xl/sharedStrings.xml><?xml version="1.0" encoding="utf-8"?>
<sst xmlns="http://schemas.openxmlformats.org/spreadsheetml/2006/main" count="273" uniqueCount="215">
  <si>
    <t>Monte Carlo Valuation &amp; Fragility Model</t>
  </si>
  <si>
    <t>Energy Sector | NTPC Ltd.</t>
  </si>
  <si>
    <t>Aurex Research | By Akshat Gupta</t>
  </si>
  <si>
    <t>This project builds a probabilistic FCFF DCF valuation framework for an Indian energy major using Monte Carlo simulation.
Instead of relying on single-point estimates, the model generates distributions of intrinsic value to assess downside risk, upside potential, and valuation fragility under uncertainty.
The framework is designed as a research lab to explore how growth, margins, reinvestment, and cost of capital interact to shape long-term value in capital-intensive energy businesses.</t>
  </si>
  <si>
    <t>© 2025 Aurex Research | Monte Carlo Valuation Framework | For Educational Use</t>
  </si>
  <si>
    <t>Control Panel - Monte Carlo Valuation Lab (NTPC Ltd.)</t>
  </si>
  <si>
    <t>GENERAL SETTINGS</t>
  </si>
  <si>
    <t>Company Name</t>
  </si>
  <si>
    <t>Sector</t>
  </si>
  <si>
    <t>Valuation Currency</t>
  </si>
  <si>
    <t>Base Year</t>
  </si>
  <si>
    <t>Terminal Growth</t>
  </si>
  <si>
    <t>Rs Crores</t>
  </si>
  <si>
    <t>FY2025</t>
  </si>
  <si>
    <t>MONTE CARLO SETTINGS</t>
  </si>
  <si>
    <t>Number of Simulations</t>
  </si>
  <si>
    <t>Random Seed</t>
  </si>
  <si>
    <t>Distribution Type</t>
  </si>
  <si>
    <t>Normal</t>
  </si>
  <si>
    <t>Correlation On ?</t>
  </si>
  <si>
    <t>Yes</t>
  </si>
  <si>
    <t>Recalculate Button</t>
  </si>
  <si>
    <t>BASE CASE DRIVER ANCHORS</t>
  </si>
  <si>
    <t>EBITDA Margin</t>
  </si>
  <si>
    <t>Revenue Growth (%)</t>
  </si>
  <si>
    <t>EBITDA Margin (%)</t>
  </si>
  <si>
    <t>Reinvestment Rate (% of EBIT)</t>
  </si>
  <si>
    <t>WACC (%)</t>
  </si>
  <si>
    <t>SCENARIO SELECTOR</t>
  </si>
  <si>
    <t>Selected Scenario</t>
  </si>
  <si>
    <t>Base</t>
  </si>
  <si>
    <t>Base Case Operating &amp; Valuation Assumptions - NTPC Ltd</t>
  </si>
  <si>
    <t>REVENUE &amp; GROWTH</t>
  </si>
  <si>
    <t>Volume Growth (%)</t>
  </si>
  <si>
    <t>Price / Tariff Growth (%)</t>
  </si>
  <si>
    <t>Mix / Other Growth (%)</t>
  </si>
  <si>
    <t>Total Revenue Growth (%)</t>
  </si>
  <si>
    <t>Forecast Horizon (Years)</t>
  </si>
  <si>
    <t>PROFITABILITY</t>
  </si>
  <si>
    <t>Depreciation (% of Revenue)</t>
  </si>
  <si>
    <t>EBIT Margin (%)</t>
  </si>
  <si>
    <t>Tax Rate (%)</t>
  </si>
  <si>
    <t>NOPAT Margin (%)</t>
  </si>
  <si>
    <t>REINVESTMENT &amp; CAPITAL INTENSITY</t>
  </si>
  <si>
    <t>Capex (% of Revenue)</t>
  </si>
  <si>
    <t>Sales / Capital Ratio (x)</t>
  </si>
  <si>
    <t>Working Capital (% of Revenue)</t>
  </si>
  <si>
    <t>Asset Life (Years)</t>
  </si>
  <si>
    <t>COST OF CAPITAL (BASE CASE)</t>
  </si>
  <si>
    <t>Risk-Free Rate (%)</t>
  </si>
  <si>
    <t>Equity Risk Premium (%)</t>
  </si>
  <si>
    <t>Beta</t>
  </si>
  <si>
    <t>Cost of Equity (%)</t>
  </si>
  <si>
    <t>TERMINAL ASSUMPTIONS</t>
  </si>
  <si>
    <t>Terminal Growth (%)</t>
  </si>
  <si>
    <t>Terminal ROIC (%)</t>
  </si>
  <si>
    <r>
      <t xml:space="preserve">Change in WC (% of </t>
    </r>
    <r>
      <rPr>
        <sz val="10"/>
        <color rgb="FFE5E5E5"/>
        <rFont val="Aptos Narrow"/>
        <family val="2"/>
      </rPr>
      <t>∆</t>
    </r>
    <r>
      <rPr>
        <sz val="10"/>
        <color rgb="FFE5E5E5"/>
        <rFont val="Calibri"/>
        <family val="2"/>
      </rPr>
      <t>Revenue)</t>
    </r>
  </si>
  <si>
    <t>Base Revenue (FY25, Cr)</t>
  </si>
  <si>
    <t>Driver Distributions - Monte Carlo Inputs</t>
  </si>
  <si>
    <t>Define probability distributions for key operating and valuation drivers.
Base values are linked from Base_Assumptions.
These parameters will be used to generate random scenarios in the Monte Carlo engine.</t>
  </si>
  <si>
    <t>Driver</t>
  </si>
  <si>
    <t>Base Value</t>
  </si>
  <si>
    <t>Distribution</t>
  </si>
  <si>
    <t>Min</t>
  </si>
  <si>
    <t>Most Likely / Mean</t>
  </si>
  <si>
    <t>Max / Std Dev</t>
  </si>
  <si>
    <t>Depreciation (% Rev)</t>
  </si>
  <si>
    <t>Reinvestment Rate (% EBIT)</t>
  </si>
  <si>
    <t>Working Capital (% Rev)</t>
  </si>
  <si>
    <t>Triangular</t>
  </si>
  <si>
    <t>Operating &amp; FCFF Model - Base Case (NTPC Ltd.)</t>
  </si>
  <si>
    <t>REVENUE</t>
  </si>
  <si>
    <t>EBITDA</t>
  </si>
  <si>
    <t>FY2026E</t>
  </si>
  <si>
    <t>FY2027E</t>
  </si>
  <si>
    <t>FY2028E</t>
  </si>
  <si>
    <t>FY2029E</t>
  </si>
  <si>
    <t>FY2030E</t>
  </si>
  <si>
    <t>Depreciation</t>
  </si>
  <si>
    <t>EBIT</t>
  </si>
  <si>
    <t>Tax</t>
  </si>
  <si>
    <t>NOPAT</t>
  </si>
  <si>
    <t>REINVESTMENT</t>
  </si>
  <si>
    <t>Capex</t>
  </si>
  <si>
    <t>Change in WC</t>
  </si>
  <si>
    <t>Reinvestment</t>
  </si>
  <si>
    <t>FREE CASH FLOW TO FIRM (FCFF)</t>
  </si>
  <si>
    <t>FCFF</t>
  </si>
  <si>
    <t>KEY METRICS</t>
  </si>
  <si>
    <t>EBIT Margin</t>
  </si>
  <si>
    <t>FCFF Margin</t>
  </si>
  <si>
    <t>DCF Valuation - Base Case (FCFF Method)</t>
  </si>
  <si>
    <t>FCFF (Rs Cr)</t>
  </si>
  <si>
    <t>Discount Factor</t>
  </si>
  <si>
    <t>PV of FCFF</t>
  </si>
  <si>
    <t>TERMINAL VALUE</t>
  </si>
  <si>
    <t>Terminal FCFF</t>
  </si>
  <si>
    <t>Terminal Value</t>
  </si>
  <si>
    <t>PV of Terminal Value</t>
  </si>
  <si>
    <t>ENTERPRISE VALUE</t>
  </si>
  <si>
    <t>Sum of PV FCFF</t>
  </si>
  <si>
    <t>Enterprise Value</t>
  </si>
  <si>
    <t>EQUITY VALUE BRIDGE</t>
  </si>
  <si>
    <t>Less: Net Debt</t>
  </si>
  <si>
    <t>Equity Value</t>
  </si>
  <si>
    <t>Shares Outstanding</t>
  </si>
  <si>
    <t>Value per Share</t>
  </si>
  <si>
    <t>Valuation Snapshot</t>
  </si>
  <si>
    <t>Value / Share</t>
  </si>
  <si>
    <t>WACC</t>
  </si>
  <si>
    <t>Terminal g</t>
  </si>
  <si>
    <r>
      <t xml:space="preserve">WACC Build-Up  </t>
    </r>
    <r>
      <rPr>
        <b/>
        <sz val="14"/>
        <color rgb="FFE5E5E5"/>
        <rFont val="Calibri"/>
        <family val="2"/>
      </rPr>
      <t xml:space="preserve">̶  </t>
    </r>
    <r>
      <rPr>
        <b/>
        <sz val="14"/>
        <color rgb="FFE5E5E5"/>
        <rFont val="Calibri"/>
        <family val="2"/>
        <scheme val="minor"/>
      </rPr>
      <t>Cost of Capital Framework</t>
    </r>
  </si>
  <si>
    <t>COST OF EQUITY (CAPM)</t>
  </si>
  <si>
    <t>Small Cap / Country Premium</t>
  </si>
  <si>
    <t>COST OF DEBT</t>
  </si>
  <si>
    <t>Pre-Tax Cost of Debt (%)</t>
  </si>
  <si>
    <t>Marginal Tax Rate (%)</t>
  </si>
  <si>
    <t>Post-Tax Cost of Debt (%)</t>
  </si>
  <si>
    <t>Credit Spread (%)</t>
  </si>
  <si>
    <t>Effective Cost of Debt (%)</t>
  </si>
  <si>
    <t>CAPITAL STRUCTURE</t>
  </si>
  <si>
    <t>Target Debt Weight</t>
  </si>
  <si>
    <t>Target Equity Weight</t>
  </si>
  <si>
    <t>Check (D+E=100%)</t>
  </si>
  <si>
    <t>WEIGHTED AVERAGE COST OF CAPITAL</t>
  </si>
  <si>
    <t>Rounded WACC (%)</t>
  </si>
  <si>
    <t>Cost of Equity</t>
  </si>
  <si>
    <t>WACC Snapshot</t>
  </si>
  <si>
    <t>Cost of Debt</t>
  </si>
  <si>
    <t>Debt Weight</t>
  </si>
  <si>
    <t>Equity Weight</t>
  </si>
  <si>
    <t>Monte Carlo Engine - Intrinsic Value Simulations</t>
  </si>
  <si>
    <t>Mean/Mode</t>
  </si>
  <si>
    <t>Max/Std</t>
  </si>
  <si>
    <t>Random Draw</t>
  </si>
  <si>
    <t>Sim #</t>
  </si>
  <si>
    <t>Revenue g</t>
  </si>
  <si>
    <t>EBITDA %</t>
  </si>
  <si>
    <t>Reinv %</t>
  </si>
  <si>
    <t>Intrinsic Value</t>
  </si>
  <si>
    <t>WC %</t>
  </si>
  <si>
    <t>Terminal ROIC</t>
  </si>
  <si>
    <t>Active Simulation</t>
  </si>
  <si>
    <t>Rev Growth (active)</t>
  </si>
  <si>
    <t>EBITDA % (active)</t>
  </si>
  <si>
    <t>Reinv % (active)</t>
  </si>
  <si>
    <t>WC % (active)</t>
  </si>
  <si>
    <t>WACC (active)</t>
  </si>
  <si>
    <t>Terminal g (active)</t>
  </si>
  <si>
    <t>Terminal ROIC (active)</t>
  </si>
  <si>
    <t>RANDOM DRIVER GENERATION (ONE DRAW)</t>
  </si>
  <si>
    <t>Monte Carlo Valuation - Intrinsic Value Distribution</t>
  </si>
  <si>
    <t>Key Statistics</t>
  </si>
  <si>
    <t>Mean Value</t>
  </si>
  <si>
    <t>Median Value</t>
  </si>
  <si>
    <t>Min Value</t>
  </si>
  <si>
    <t>Max Value</t>
  </si>
  <si>
    <t>Std Deviation</t>
  </si>
  <si>
    <t>5th Percentile</t>
  </si>
  <si>
    <t>25th Percentile</t>
  </si>
  <si>
    <t>75th Percentile</t>
  </si>
  <si>
    <t>95th Percentile</t>
  </si>
  <si>
    <t>Risk Snapshot</t>
  </si>
  <si>
    <t>Prob(Value &lt; CMP)</t>
  </si>
  <si>
    <t>Prob(Value &gt; CMP)</t>
  </si>
  <si>
    <t>Prob(Value &lt; 0)</t>
  </si>
  <si>
    <t>Mean-CMP</t>
  </si>
  <si>
    <t>Base Case Value</t>
  </si>
  <si>
    <t>Monte Carlo Mean</t>
  </si>
  <si>
    <t>Current Market Price</t>
  </si>
  <si>
    <t>Bin</t>
  </si>
  <si>
    <t>Frequency</t>
  </si>
  <si>
    <r>
      <rPr>
        <b/>
        <sz val="11"/>
        <color rgb="FF009C31"/>
        <rFont val="Calibri"/>
        <family val="2"/>
        <scheme val="minor"/>
      </rPr>
      <t>Monte Carlo Insight:</t>
    </r>
    <r>
      <rPr>
        <sz val="11"/>
        <color rgb="FFF4EEFA"/>
        <rFont val="Calibri"/>
        <family val="2"/>
        <scheme val="minor"/>
      </rPr>
      <t xml:space="preserve">
</t>
    </r>
    <r>
      <rPr>
        <i/>
        <sz val="11"/>
        <color rgb="FFF4EEFA"/>
        <rFont val="Calibri"/>
        <family val="2"/>
        <scheme val="minor"/>
      </rPr>
      <t>The distribution reflects intrinsic value outcomes under simultaneous variation in growth, margins, reinvestment efficiency, and cost of capital. The spread highlights valuation sensitivity to operating execution and capital discipline. While the central tendency remains supported by fundamentals, the left tail underscores potential downside under adverse combinations of drivers. This reinforces the importance of monitoring key operating levers rather than relying on a single-point estimate.</t>
    </r>
  </si>
  <si>
    <t>5th Percentile (Downside)</t>
  </si>
  <si>
    <t>95th Percentile (Upside)</t>
  </si>
  <si>
    <t>Monte Carlo Model Checks</t>
  </si>
  <si>
    <t>Simulations Run</t>
  </si>
  <si>
    <t>Count of Results</t>
  </si>
  <si>
    <t>Errors in Results</t>
  </si>
  <si>
    <t>Mean Between P5 &amp; P95</t>
  </si>
  <si>
    <t>Prob &lt; CMP + Prob &gt; CMP</t>
  </si>
  <si>
    <t>Any Negative Values</t>
  </si>
  <si>
    <t>Std Dev &gt;0</t>
  </si>
  <si>
    <t>Mean Not Zero</t>
  </si>
  <si>
    <t>All critical Monte Carlo diagnostics should read OK before interpreting results. 
Any Check or Error indicates potential issues in simulation integrity, random driver setup, or valuation logic.</t>
  </si>
  <si>
    <t>Monte Carlo Valuation - Executive Summary</t>
  </si>
  <si>
    <t>Prob (Value &lt; CMP)</t>
  </si>
  <si>
    <t>Prob (Value &gt; CMP)</t>
  </si>
  <si>
    <t>Prob (Value &lt;0)</t>
  </si>
  <si>
    <t>Mean - CMP</t>
  </si>
  <si>
    <t>MC Mean Value</t>
  </si>
  <si>
    <r>
      <rPr>
        <b/>
        <sz val="11"/>
        <color rgb="FF38E07B"/>
        <rFont val="Calibri"/>
        <family val="2"/>
        <scheme val="minor"/>
      </rPr>
      <t>Interpretation:</t>
    </r>
    <r>
      <rPr>
        <sz val="11"/>
        <color rgb="FFE5E5E5"/>
        <rFont val="Calibri"/>
        <family val="2"/>
        <scheme val="minor"/>
      </rPr>
      <t xml:space="preserve">
The Monte Carlo distribution reflects intrinsic value outcomes under simultaneous variation in growth, margins, reinvestment efficiency, and cost of capital. While the central tendency remains supported by fundamentals, the left tail highlights potential downside under adverse combinations of drivers. This emphasizes that valuation is best viewed as a range of outcomes rather than a single point estimate.</t>
    </r>
  </si>
  <si>
    <t>Model Health</t>
  </si>
  <si>
    <t>Valuation Dashboard - Deterministic &amp; Probabilistic View</t>
  </si>
  <si>
    <t>Upside / (Downside)</t>
  </si>
  <si>
    <t>Key Assumptions (Base)</t>
  </si>
  <si>
    <t>Revenue Growth</t>
  </si>
  <si>
    <t>Working Cap</t>
  </si>
  <si>
    <t>MC DCF Intrinsic Value</t>
  </si>
  <si>
    <t>Monte Carlo Distribution - Intrinsic Value</t>
  </si>
  <si>
    <t>Monte Carlo WACC x Terminal Growth Sensitivity</t>
  </si>
  <si>
    <t>Metric</t>
  </si>
  <si>
    <t>Base DCF</t>
  </si>
  <si>
    <t>MC Mean</t>
  </si>
  <si>
    <t>Upside %</t>
  </si>
  <si>
    <t>Deterministic vs Probabilistic</t>
  </si>
  <si>
    <t>Risk-Reward Snapshot (Monte Carlo)</t>
  </si>
  <si>
    <t>Median (P50)</t>
  </si>
  <si>
    <t>P (Intrinsic &gt; CMP)</t>
  </si>
  <si>
    <t>Asymmetry Ratio</t>
  </si>
  <si>
    <t>Expected Loss</t>
  </si>
  <si>
    <t>Valuation Fragility Score</t>
  </si>
  <si>
    <t>This executive summary synthesizes probabilistic valuation outputs from the Monte Carlo engine. All values are in ₹ unless stated otherwise.</t>
  </si>
  <si>
    <t>Interpretation (Probabilistic View)</t>
  </si>
  <si>
    <t>The valuation outcomes exhibit a wide dispersion, underscoring the sensitivity of long-term value to capital costs, reinvestment efficiency, and terminal assumptions rather than near-term earnings alone.
While the distribution suggests a meaningful probability of intrinsic value exceeding the current market price, downside scenarios remain material when adverse combinations of assumptions coincide.
The analysis highlights that valuation is driven less by point estimates and more by the interaction between growth durability, capital intensity, and cost of capital. As a result, the framework emphasizes ranges and likelihoods over single-value conclusions, offering a clearer view of both risk and optionality embedded in the business.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</si>
</sst>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 #,##0.00_ ;_ * \-#,##0.00_ ;_ * &quot;-&quot;??_ ;_ @_ "/>
    <numFmt numFmtId="164" formatCode="0.0%"/>
    <numFmt numFmtId="165" formatCode="_ [$₹-4009]\ * #,##0.00_ ;_ [$₹-4009]\ * \-#,##0.00_ ;_ [$₹-4009]\ * &quot;-&quot;??_ ;_ @_ "/>
  </numFmts>
  <fonts count="40" x14ac:knownFonts="1">
    <font>
      <sz val="11"/>
      <color theme="1"/>
      <name val="Calibri"/>
      <family val="2"/>
      <scheme val="minor"/>
    </font>
    <font>
      <sz val="11"/>
      <color theme="1"/>
      <name val="Calibri"/>
      <family val="2"/>
      <scheme val="minor"/>
    </font>
    <font>
      <b/>
      <sz val="20"/>
      <color rgb="FFF3F4F6"/>
      <name val="Calibri"/>
      <family val="2"/>
      <scheme val="minor"/>
    </font>
    <font>
      <i/>
      <sz val="11"/>
      <color rgb="FFF3F4F6"/>
      <name val="Calibri"/>
      <family val="2"/>
      <scheme val="minor"/>
    </font>
    <font>
      <b/>
      <sz val="11"/>
      <color rgb="FF9CA3AF"/>
      <name val="Calibri"/>
      <family val="2"/>
      <scheme val="minor"/>
    </font>
    <font>
      <sz val="11"/>
      <color rgb="FF9CA3AF"/>
      <name val="Calibri"/>
      <family val="2"/>
      <scheme val="minor"/>
    </font>
    <font>
      <sz val="11"/>
      <color rgb="FFE5E5E5"/>
      <name val="Calibri"/>
      <family val="2"/>
      <scheme val="minor"/>
    </font>
    <font>
      <sz val="10"/>
      <color rgb="FFE5E5E5"/>
      <name val="Calibri"/>
      <family val="2"/>
      <scheme val="minor"/>
    </font>
    <font>
      <sz val="9"/>
      <color rgb="FFE5E5E5"/>
      <name val="Calibri"/>
      <family val="2"/>
      <scheme val="minor"/>
    </font>
    <font>
      <b/>
      <sz val="14"/>
      <color rgb="FFF3F4F6"/>
      <name val="Calibri"/>
      <family val="2"/>
      <scheme val="minor"/>
    </font>
    <font>
      <sz val="11"/>
      <color rgb="FF009C31"/>
      <name val="Calibri"/>
      <family val="2"/>
      <scheme val="minor"/>
    </font>
    <font>
      <b/>
      <sz val="11"/>
      <color rgb="FF009C31"/>
      <name val="Calibri"/>
      <family val="2"/>
      <scheme val="minor"/>
    </font>
    <font>
      <sz val="11"/>
      <color rgb="FF38E078"/>
      <name val="Calibri"/>
      <family val="2"/>
      <scheme val="minor"/>
    </font>
    <font>
      <b/>
      <sz val="11"/>
      <color rgb="FFE5E5E5"/>
      <name val="Calibri"/>
      <family val="2"/>
      <scheme val="minor"/>
    </font>
    <font>
      <sz val="10"/>
      <color rgb="FFE5E5E5"/>
      <name val="Aptos Narrow"/>
      <family val="2"/>
    </font>
    <font>
      <sz val="10"/>
      <color rgb="FFE5E5E5"/>
      <name val="Calibri"/>
      <family val="2"/>
    </font>
    <font>
      <b/>
      <sz val="14"/>
      <color rgb="FFE5E5E5"/>
      <name val="Calibri"/>
      <family val="2"/>
      <scheme val="minor"/>
    </font>
    <font>
      <sz val="11"/>
      <color rgb="FF38E07B"/>
      <name val="Calibri"/>
      <family val="2"/>
      <scheme val="minor"/>
    </font>
    <font>
      <sz val="8"/>
      <name val="Calibri"/>
      <family val="2"/>
      <scheme val="minor"/>
    </font>
    <font>
      <b/>
      <sz val="12"/>
      <color rgb="FF009C31"/>
      <name val="Calibri"/>
      <family val="2"/>
      <scheme val="minor"/>
    </font>
    <font>
      <b/>
      <sz val="14"/>
      <color rgb="FFE5E5E5"/>
      <name val="Calibri"/>
      <family val="2"/>
    </font>
    <font>
      <b/>
      <sz val="11"/>
      <color rgb="FF38E07B"/>
      <name val="Calibri"/>
      <family val="2"/>
      <scheme val="minor"/>
    </font>
    <font>
      <sz val="12"/>
      <color rgb="FFE5E5E5"/>
      <name val="Calibri"/>
      <family val="2"/>
      <scheme val="minor"/>
    </font>
    <font>
      <sz val="11"/>
      <color rgb="FFF4EEFA"/>
      <name val="Calibri"/>
      <family val="2"/>
      <scheme val="minor"/>
    </font>
    <font>
      <i/>
      <sz val="11"/>
      <color rgb="FFF4EEFA"/>
      <name val="Calibri"/>
      <family val="2"/>
      <scheme val="minor"/>
    </font>
    <font>
      <sz val="22"/>
      <color rgb="FFE5E5E5"/>
      <name val="Calibri"/>
      <family val="2"/>
      <scheme val="minor"/>
    </font>
    <font>
      <b/>
      <sz val="22"/>
      <color rgb="FFE5E5E5"/>
      <name val="Calibri"/>
      <family val="2"/>
      <scheme val="minor"/>
    </font>
    <font>
      <b/>
      <sz val="14"/>
      <color rgb="FF009C31"/>
      <name val="Calibri"/>
      <family val="2"/>
      <scheme val="minor"/>
    </font>
    <font>
      <i/>
      <sz val="11"/>
      <color rgb="FFE5E5E5"/>
      <name val="Calibri"/>
      <family val="2"/>
      <scheme val="minor"/>
    </font>
    <font>
      <b/>
      <sz val="20"/>
      <color rgb="FFE5E5E5"/>
      <name val="Calibri"/>
      <family val="2"/>
      <scheme val="minor"/>
    </font>
    <font>
      <b/>
      <sz val="22"/>
      <color rgb="FFFF5050"/>
      <name val="Calibri"/>
      <family val="2"/>
      <scheme val="minor"/>
    </font>
    <font>
      <b/>
      <sz val="22"/>
      <color rgb="FF38E07B"/>
      <name val="Calibri"/>
      <family val="2"/>
      <scheme val="minor"/>
    </font>
    <font>
      <b/>
      <sz val="24"/>
      <color rgb="FFE5E5E5"/>
      <name val="Calibri"/>
      <family val="2"/>
      <scheme val="minor"/>
    </font>
    <font>
      <i/>
      <sz val="9"/>
      <color rgb="FFE5E5E5"/>
      <name val="Calibri"/>
      <family val="2"/>
      <scheme val="minor"/>
    </font>
    <font>
      <b/>
      <sz val="20"/>
      <color rgb="FF33CC33"/>
      <name val="Calibri"/>
      <family val="2"/>
      <scheme val="minor"/>
    </font>
    <font>
      <b/>
      <sz val="16"/>
      <color rgb="FF009C31"/>
      <name val="Calibri"/>
      <family val="2"/>
      <scheme val="minor"/>
    </font>
    <font>
      <sz val="14"/>
      <color rgb="FFE5E5E5"/>
      <name val="Calibri"/>
      <family val="2"/>
      <scheme val="minor"/>
    </font>
    <font>
      <b/>
      <sz val="14"/>
      <color rgb="FF33CC33"/>
      <name val="Calibri"/>
      <family val="2"/>
      <scheme val="minor"/>
    </font>
    <font>
      <sz val="12"/>
      <color rgb="FF1F1F1F"/>
      <name val="Calibri"/>
      <family val="2"/>
      <scheme val="minor"/>
    </font>
    <font>
      <b/>
      <sz val="13"/>
      <color rgb="FF33CC33"/>
      <name val="Calibri"/>
      <family val="2"/>
      <scheme val="minor"/>
    </font>
  </fonts>
  <fills count="7">
    <fill>
      <patternFill patternType="none"/>
    </fill>
    <fill>
      <patternFill patternType="gray125"/>
    </fill>
    <fill>
      <patternFill patternType="solid">
        <fgColor rgb="FF121212"/>
        <bgColor indexed="64"/>
      </patternFill>
    </fill>
    <fill>
      <patternFill patternType="solid">
        <fgColor rgb="FF009C31"/>
        <bgColor indexed="64"/>
      </patternFill>
    </fill>
    <fill>
      <patternFill patternType="solid">
        <fgColor rgb="FF1F1F1F"/>
        <bgColor indexed="64"/>
      </patternFill>
    </fill>
    <fill>
      <patternFill patternType="solid">
        <fgColor theme="6" tint="-0.499984740745262"/>
        <bgColor indexed="64"/>
      </patternFill>
    </fill>
    <fill>
      <patternFill patternType="solid">
        <fgColor rgb="FF008000"/>
        <bgColor indexed="64"/>
      </patternFill>
    </fill>
  </fills>
  <borders count="20">
    <border>
      <left/>
      <right/>
      <top/>
      <bottom/>
      <diagonal/>
    </border>
    <border>
      <left style="thin">
        <color rgb="FF009C31"/>
      </left>
      <right/>
      <top style="thin">
        <color rgb="FF009C31"/>
      </top>
      <bottom/>
      <diagonal/>
    </border>
    <border>
      <left/>
      <right/>
      <top style="thin">
        <color rgb="FF009C31"/>
      </top>
      <bottom/>
      <diagonal/>
    </border>
    <border>
      <left/>
      <right style="thin">
        <color rgb="FF009C31"/>
      </right>
      <top style="thin">
        <color rgb="FF009C31"/>
      </top>
      <bottom/>
      <diagonal/>
    </border>
    <border>
      <left style="thin">
        <color rgb="FF009C31"/>
      </left>
      <right/>
      <top/>
      <bottom/>
      <diagonal/>
    </border>
    <border>
      <left/>
      <right style="thin">
        <color rgb="FF009C31"/>
      </right>
      <top/>
      <bottom/>
      <diagonal/>
    </border>
    <border>
      <left style="thin">
        <color rgb="FF009C31"/>
      </left>
      <right/>
      <top/>
      <bottom style="thin">
        <color rgb="FF009C31"/>
      </bottom>
      <diagonal/>
    </border>
    <border>
      <left/>
      <right/>
      <top/>
      <bottom style="thin">
        <color rgb="FF009C31"/>
      </bottom>
      <diagonal/>
    </border>
    <border>
      <left/>
      <right style="thin">
        <color rgb="FF009C31"/>
      </right>
      <top/>
      <bottom style="thin">
        <color rgb="FF009C31"/>
      </bottom>
      <diagonal/>
    </border>
    <border>
      <left style="thin">
        <color rgb="FF009C31"/>
      </left>
      <right/>
      <top style="thin">
        <color rgb="FF009C31"/>
      </top>
      <bottom style="thin">
        <color rgb="FF009C31"/>
      </bottom>
      <diagonal/>
    </border>
    <border>
      <left/>
      <right style="thin">
        <color rgb="FF009C31"/>
      </right>
      <top style="thin">
        <color rgb="FF009C31"/>
      </top>
      <bottom style="thin">
        <color rgb="FF009C31"/>
      </bottom>
      <diagonal/>
    </border>
    <border>
      <left/>
      <right/>
      <top style="thin">
        <color rgb="FF009C31"/>
      </top>
      <bottom style="thin">
        <color rgb="FF009C31"/>
      </bottom>
      <diagonal/>
    </border>
    <border>
      <left style="medium">
        <color rgb="FF009C31"/>
      </left>
      <right/>
      <top style="medium">
        <color rgb="FF009C31"/>
      </top>
      <bottom/>
      <diagonal/>
    </border>
    <border>
      <left/>
      <right/>
      <top style="medium">
        <color rgb="FF009C31"/>
      </top>
      <bottom/>
      <diagonal/>
    </border>
    <border>
      <left/>
      <right style="medium">
        <color rgb="FF009C31"/>
      </right>
      <top style="medium">
        <color rgb="FF009C31"/>
      </top>
      <bottom/>
      <diagonal/>
    </border>
    <border>
      <left style="medium">
        <color rgb="FF009C31"/>
      </left>
      <right/>
      <top/>
      <bottom/>
      <diagonal/>
    </border>
    <border>
      <left/>
      <right style="medium">
        <color rgb="FF009C31"/>
      </right>
      <top/>
      <bottom/>
      <diagonal/>
    </border>
    <border>
      <left style="medium">
        <color rgb="FF009C31"/>
      </left>
      <right/>
      <top/>
      <bottom style="medium">
        <color rgb="FF009C31"/>
      </bottom>
      <diagonal/>
    </border>
    <border>
      <left/>
      <right/>
      <top/>
      <bottom style="medium">
        <color rgb="FF009C31"/>
      </bottom>
      <diagonal/>
    </border>
    <border>
      <left/>
      <right style="medium">
        <color rgb="FF009C31"/>
      </right>
      <top/>
      <bottom style="medium">
        <color rgb="FF009C3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307">
    <xf numFmtId="0" fontId="0" fillId="0" borderId="0" xfId="0"/>
    <xf numFmtId="0" fontId="0" fillId="2" borderId="0" xfId="0" applyFill="1" applyAlignment="1">
      <alignment vertical="center"/>
    </xf>
    <xf numFmtId="0" fontId="0" fillId="0" borderId="0" xfId="0" applyAlignment="1">
      <alignment vertical="center"/>
    </xf>
    <xf numFmtId="0" fontId="0" fillId="3" borderId="0" xfId="0" applyFill="1" applyAlignment="1">
      <alignment vertical="center"/>
    </xf>
    <xf numFmtId="0" fontId="11" fillId="4" borderId="0" xfId="0" applyFont="1" applyFill="1" applyAlignment="1">
      <alignment horizontal="left" vertical="center"/>
    </xf>
    <xf numFmtId="0" fontId="6" fillId="2" borderId="0" xfId="0" applyFont="1" applyFill="1" applyAlignment="1">
      <alignment vertical="center"/>
    </xf>
    <xf numFmtId="0" fontId="6" fillId="2" borderId="4" xfId="0" applyFont="1" applyFill="1" applyBorder="1" applyAlignment="1">
      <alignment vertical="center"/>
    </xf>
    <xf numFmtId="0" fontId="6" fillId="2" borderId="6" xfId="0" applyFont="1" applyFill="1" applyBorder="1" applyAlignment="1">
      <alignment vertical="center"/>
    </xf>
    <xf numFmtId="0" fontId="6" fillId="2" borderId="7" xfId="0" applyFont="1" applyFill="1" applyBorder="1" applyAlignment="1">
      <alignment vertical="center"/>
    </xf>
    <xf numFmtId="0" fontId="6" fillId="4" borderId="1" xfId="0" applyFont="1" applyFill="1" applyBorder="1" applyAlignment="1">
      <alignment vertical="center"/>
    </xf>
    <xf numFmtId="0" fontId="12" fillId="4" borderId="2" xfId="0" applyFont="1" applyFill="1" applyBorder="1" applyAlignment="1">
      <alignment vertical="center"/>
    </xf>
    <xf numFmtId="0" fontId="6" fillId="4" borderId="2" xfId="0" applyFont="1" applyFill="1" applyBorder="1" applyAlignment="1">
      <alignment vertical="center"/>
    </xf>
    <xf numFmtId="0" fontId="6" fillId="4" borderId="3" xfId="0" applyFont="1" applyFill="1" applyBorder="1" applyAlignment="1">
      <alignment vertical="center"/>
    </xf>
    <xf numFmtId="0" fontId="6" fillId="4" borderId="4" xfId="0" applyFont="1" applyFill="1" applyBorder="1" applyAlignment="1">
      <alignment vertical="center"/>
    </xf>
    <xf numFmtId="0" fontId="12" fillId="4" borderId="0" xfId="0" applyFont="1" applyFill="1" applyAlignment="1">
      <alignment vertical="center"/>
    </xf>
    <xf numFmtId="0" fontId="6" fillId="4" borderId="0" xfId="0" applyFont="1" applyFill="1" applyAlignment="1">
      <alignment vertical="center"/>
    </xf>
    <xf numFmtId="0" fontId="6" fillId="4" borderId="5" xfId="0" applyFont="1" applyFill="1" applyBorder="1" applyAlignment="1">
      <alignment vertical="center"/>
    </xf>
    <xf numFmtId="0" fontId="6" fillId="4" borderId="6" xfId="0" applyFont="1" applyFill="1" applyBorder="1" applyAlignment="1">
      <alignment vertical="center"/>
    </xf>
    <xf numFmtId="0" fontId="6" fillId="4" borderId="7" xfId="0" applyFont="1" applyFill="1" applyBorder="1" applyAlignment="1">
      <alignment vertical="center"/>
    </xf>
    <xf numFmtId="0" fontId="6" fillId="4" borderId="8" xfId="0" applyFont="1" applyFill="1" applyBorder="1" applyAlignment="1">
      <alignment vertical="center"/>
    </xf>
    <xf numFmtId="0" fontId="12" fillId="4" borderId="3" xfId="0" applyFont="1" applyFill="1" applyBorder="1" applyAlignment="1">
      <alignment vertical="center"/>
    </xf>
    <xf numFmtId="0" fontId="12" fillId="4" borderId="5" xfId="0" applyFont="1" applyFill="1" applyBorder="1" applyAlignment="1">
      <alignment vertical="center"/>
    </xf>
    <xf numFmtId="10" fontId="12" fillId="4" borderId="8" xfId="0" applyNumberFormat="1" applyFont="1" applyFill="1" applyBorder="1" applyAlignment="1">
      <alignment horizontal="left" vertical="center"/>
    </xf>
    <xf numFmtId="0" fontId="6" fillId="2" borderId="0" xfId="0" applyFont="1" applyFill="1" applyAlignment="1">
      <alignment horizontal="left" vertical="center"/>
    </xf>
    <xf numFmtId="0" fontId="12" fillId="4" borderId="3" xfId="0" applyFont="1" applyFill="1" applyBorder="1" applyAlignment="1">
      <alignment horizontal="left" vertical="center"/>
    </xf>
    <xf numFmtId="0" fontId="12" fillId="4" borderId="5" xfId="0" applyFont="1" applyFill="1" applyBorder="1" applyAlignment="1">
      <alignment horizontal="left" vertical="center"/>
    </xf>
    <xf numFmtId="0" fontId="6" fillId="4" borderId="9" xfId="0" applyFont="1" applyFill="1" applyBorder="1" applyAlignment="1">
      <alignment vertical="center"/>
    </xf>
    <xf numFmtId="0" fontId="12" fillId="4" borderId="10" xfId="0" applyFont="1" applyFill="1" applyBorder="1" applyAlignment="1">
      <alignment vertical="center"/>
    </xf>
    <xf numFmtId="0" fontId="6" fillId="0" borderId="0" xfId="0" applyFont="1" applyAlignment="1">
      <alignment vertical="center"/>
    </xf>
    <xf numFmtId="0" fontId="12" fillId="4" borderId="7" xfId="0" applyFont="1" applyFill="1" applyBorder="1" applyAlignment="1">
      <alignment vertical="center"/>
    </xf>
    <xf numFmtId="164" fontId="6" fillId="4" borderId="5" xfId="2" applyNumberFormat="1" applyFont="1" applyFill="1" applyBorder="1" applyAlignment="1">
      <alignment vertical="center"/>
    </xf>
    <xf numFmtId="164" fontId="6" fillId="4" borderId="5" xfId="2" applyNumberFormat="1" applyFont="1" applyFill="1" applyBorder="1" applyAlignment="1">
      <alignment horizontal="left" vertical="center"/>
    </xf>
    <xf numFmtId="164" fontId="12" fillId="4" borderId="5" xfId="2" applyNumberFormat="1" applyFont="1" applyFill="1" applyBorder="1" applyAlignment="1">
      <alignment horizontal="left" vertical="center"/>
    </xf>
    <xf numFmtId="0" fontId="12" fillId="4" borderId="8" xfId="0" applyFont="1" applyFill="1" applyBorder="1" applyAlignment="1">
      <alignment horizontal="left" vertical="center"/>
    </xf>
    <xf numFmtId="164" fontId="12" fillId="4" borderId="3" xfId="2" applyNumberFormat="1" applyFont="1" applyFill="1" applyBorder="1" applyAlignment="1">
      <alignment horizontal="left" vertical="center"/>
    </xf>
    <xf numFmtId="164" fontId="12" fillId="4" borderId="8" xfId="2" applyNumberFormat="1" applyFont="1" applyFill="1" applyBorder="1" applyAlignment="1">
      <alignment horizontal="left" vertical="center"/>
    </xf>
    <xf numFmtId="0" fontId="13" fillId="2" borderId="0" xfId="0" applyFont="1" applyFill="1" applyAlignment="1">
      <alignment vertical="center"/>
    </xf>
    <xf numFmtId="0" fontId="13" fillId="4" borderId="1" xfId="0" applyFont="1" applyFill="1" applyBorder="1" applyAlignment="1">
      <alignment vertical="center"/>
    </xf>
    <xf numFmtId="0" fontId="10" fillId="4" borderId="0" xfId="0" applyFont="1" applyFill="1" applyAlignment="1">
      <alignment vertical="center"/>
    </xf>
    <xf numFmtId="0" fontId="11" fillId="4" borderId="0" xfId="0" applyFont="1" applyFill="1" applyAlignment="1">
      <alignment vertical="center"/>
    </xf>
    <xf numFmtId="0" fontId="0" fillId="2" borderId="0" xfId="0" applyFill="1" applyAlignment="1">
      <alignment horizontal="left" vertical="center"/>
    </xf>
    <xf numFmtId="0" fontId="6" fillId="0" borderId="0" xfId="0" applyFont="1" applyAlignment="1">
      <alignment horizontal="left" vertical="center"/>
    </xf>
    <xf numFmtId="164" fontId="6" fillId="4" borderId="8" xfId="2" applyNumberFormat="1" applyFont="1" applyFill="1" applyBorder="1" applyAlignment="1">
      <alignment horizontal="left" vertical="center"/>
    </xf>
    <xf numFmtId="4" fontId="12" fillId="4" borderId="5" xfId="0" applyNumberFormat="1" applyFont="1" applyFill="1" applyBorder="1" applyAlignment="1">
      <alignment horizontal="left" vertical="center"/>
    </xf>
    <xf numFmtId="0" fontId="10" fillId="4" borderId="0" xfId="0" applyFont="1" applyFill="1" applyAlignment="1">
      <alignment horizontal="left" vertical="center"/>
    </xf>
    <xf numFmtId="10" fontId="12" fillId="4" borderId="3" xfId="0" applyNumberFormat="1" applyFont="1" applyFill="1" applyBorder="1" applyAlignment="1">
      <alignment horizontal="left" vertical="center"/>
    </xf>
    <xf numFmtId="0" fontId="7" fillId="4" borderId="1" xfId="0" applyFont="1" applyFill="1" applyBorder="1" applyAlignment="1">
      <alignment vertical="center"/>
    </xf>
    <xf numFmtId="0" fontId="7" fillId="4" borderId="4" xfId="0" applyFont="1" applyFill="1" applyBorder="1" applyAlignment="1">
      <alignment vertical="center"/>
    </xf>
    <xf numFmtId="0" fontId="7" fillId="4" borderId="6" xfId="0" applyFont="1" applyFill="1" applyBorder="1" applyAlignment="1">
      <alignment vertical="center"/>
    </xf>
    <xf numFmtId="165" fontId="12" fillId="4" borderId="3" xfId="1" applyNumberFormat="1" applyFont="1" applyFill="1" applyBorder="1" applyAlignment="1">
      <alignment horizontal="left" vertical="center"/>
    </xf>
    <xf numFmtId="2" fontId="12" fillId="4" borderId="5" xfId="0" applyNumberFormat="1" applyFont="1" applyFill="1" applyBorder="1" applyAlignment="1">
      <alignment horizontal="left" vertical="center"/>
    </xf>
    <xf numFmtId="164" fontId="6" fillId="2" borderId="0" xfId="2" applyNumberFormat="1" applyFont="1" applyFill="1" applyAlignment="1">
      <alignment vertical="center"/>
    </xf>
    <xf numFmtId="164" fontId="6" fillId="2" borderId="0" xfId="2" applyNumberFormat="1" applyFont="1" applyFill="1" applyAlignment="1">
      <alignment horizontal="left" vertical="center"/>
    </xf>
    <xf numFmtId="0" fontId="17" fillId="4" borderId="2" xfId="0" applyFont="1" applyFill="1" applyBorder="1" applyAlignment="1">
      <alignment vertical="center"/>
    </xf>
    <xf numFmtId="164" fontId="17" fillId="4" borderId="2" xfId="0" applyNumberFormat="1" applyFont="1" applyFill="1" applyBorder="1" applyAlignment="1">
      <alignment horizontal="left" vertical="center"/>
    </xf>
    <xf numFmtId="0" fontId="17" fillId="4" borderId="0" xfId="0" applyFont="1" applyFill="1" applyAlignment="1">
      <alignment vertical="center"/>
    </xf>
    <xf numFmtId="164" fontId="17" fillId="4" borderId="0" xfId="0" applyNumberFormat="1" applyFont="1" applyFill="1" applyAlignment="1">
      <alignment horizontal="left" vertical="center"/>
    </xf>
    <xf numFmtId="0" fontId="17" fillId="4" borderId="7" xfId="0" applyFont="1" applyFill="1" applyBorder="1" applyAlignment="1">
      <alignment vertical="center"/>
    </xf>
    <xf numFmtId="164" fontId="17" fillId="4" borderId="7" xfId="0" applyNumberFormat="1" applyFont="1" applyFill="1" applyBorder="1" applyAlignment="1">
      <alignment horizontal="left" vertical="center"/>
    </xf>
    <xf numFmtId="164" fontId="6" fillId="2" borderId="5" xfId="2" applyNumberFormat="1" applyFont="1" applyFill="1" applyBorder="1" applyAlignment="1">
      <alignment horizontal="left" vertical="center"/>
    </xf>
    <xf numFmtId="164" fontId="6" fillId="2" borderId="8" xfId="2" applyNumberFormat="1" applyFont="1" applyFill="1" applyBorder="1" applyAlignment="1">
      <alignment horizontal="left" vertical="center"/>
    </xf>
    <xf numFmtId="164" fontId="6" fillId="2" borderId="0" xfId="2" applyNumberFormat="1" applyFont="1" applyFill="1" applyBorder="1" applyAlignment="1">
      <alignment horizontal="left" vertical="center"/>
    </xf>
    <xf numFmtId="164" fontId="6" fillId="2" borderId="7" xfId="2" applyNumberFormat="1" applyFont="1" applyFill="1" applyBorder="1" applyAlignment="1">
      <alignment horizontal="left" vertical="center"/>
    </xf>
    <xf numFmtId="164" fontId="6" fillId="4" borderId="2" xfId="2" applyNumberFormat="1" applyFont="1" applyFill="1" applyBorder="1" applyAlignment="1">
      <alignment horizontal="left" vertical="center"/>
    </xf>
    <xf numFmtId="164" fontId="6" fillId="4" borderId="0" xfId="2" applyNumberFormat="1" applyFont="1" applyFill="1" applyBorder="1" applyAlignment="1">
      <alignment horizontal="left" vertical="center"/>
    </xf>
    <xf numFmtId="164" fontId="6" fillId="4" borderId="7" xfId="2" applyNumberFormat="1" applyFont="1" applyFill="1" applyBorder="1" applyAlignment="1">
      <alignment horizontal="left" vertical="center"/>
    </xf>
    <xf numFmtId="0" fontId="13" fillId="2" borderId="0" xfId="0" applyFont="1" applyFill="1" applyAlignment="1">
      <alignment horizontal="center" vertical="center"/>
    </xf>
    <xf numFmtId="43" fontId="6" fillId="2" borderId="0" xfId="1" applyFont="1" applyFill="1" applyAlignment="1">
      <alignment vertical="center"/>
    </xf>
    <xf numFmtId="43" fontId="6" fillId="2" borderId="0" xfId="0" applyNumberFormat="1" applyFont="1" applyFill="1" applyAlignment="1">
      <alignment vertical="center"/>
    </xf>
    <xf numFmtId="43" fontId="6" fillId="2" borderId="7" xfId="1" applyFont="1" applyFill="1" applyBorder="1" applyAlignment="1">
      <alignment vertical="center"/>
    </xf>
    <xf numFmtId="43" fontId="6" fillId="2" borderId="8" xfId="1" applyFont="1" applyFill="1" applyBorder="1" applyAlignment="1">
      <alignment vertical="center"/>
    </xf>
    <xf numFmtId="43" fontId="6" fillId="2" borderId="5" xfId="0" applyNumberFormat="1" applyFont="1" applyFill="1" applyBorder="1" applyAlignment="1">
      <alignment vertical="center"/>
    </xf>
    <xf numFmtId="43" fontId="6" fillId="2" borderId="7" xfId="0" applyNumberFormat="1" applyFont="1" applyFill="1" applyBorder="1" applyAlignment="1">
      <alignment vertical="center"/>
    </xf>
    <xf numFmtId="43" fontId="6" fillId="2" borderId="8" xfId="0" applyNumberFormat="1" applyFont="1" applyFill="1" applyBorder="1" applyAlignment="1">
      <alignment vertical="center"/>
    </xf>
    <xf numFmtId="164" fontId="6" fillId="2" borderId="0" xfId="2" applyNumberFormat="1" applyFont="1" applyFill="1" applyBorder="1" applyAlignment="1">
      <alignment vertical="center"/>
    </xf>
    <xf numFmtId="164" fontId="6" fillId="2" borderId="5" xfId="2" applyNumberFormat="1" applyFont="1" applyFill="1" applyBorder="1" applyAlignment="1">
      <alignment vertical="center"/>
    </xf>
    <xf numFmtId="164" fontId="6" fillId="2" borderId="7" xfId="2" applyNumberFormat="1" applyFont="1" applyFill="1" applyBorder="1" applyAlignment="1">
      <alignment vertical="center"/>
    </xf>
    <xf numFmtId="164" fontId="6" fillId="2" borderId="8" xfId="2" applyNumberFormat="1" applyFont="1" applyFill="1" applyBorder="1" applyAlignment="1">
      <alignment vertical="center"/>
    </xf>
    <xf numFmtId="0" fontId="0" fillId="4" borderId="0" xfId="0" applyFill="1" applyAlignment="1">
      <alignment vertical="center"/>
    </xf>
    <xf numFmtId="0" fontId="0" fillId="4" borderId="5" xfId="0" applyFill="1" applyBorder="1" applyAlignment="1">
      <alignment vertical="center"/>
    </xf>
    <xf numFmtId="0" fontId="10" fillId="4" borderId="1" xfId="0" applyFont="1" applyFill="1" applyBorder="1" applyAlignment="1">
      <alignment vertical="center"/>
    </xf>
    <xf numFmtId="0" fontId="10" fillId="4" borderId="2" xfId="0" applyFont="1" applyFill="1" applyBorder="1" applyAlignment="1">
      <alignment vertical="center"/>
    </xf>
    <xf numFmtId="0" fontId="10" fillId="4" borderId="3" xfId="0" applyFont="1" applyFill="1" applyBorder="1" applyAlignment="1">
      <alignment vertical="center"/>
    </xf>
    <xf numFmtId="0" fontId="19" fillId="4" borderId="2" xfId="0" applyFont="1" applyFill="1" applyBorder="1" applyAlignment="1">
      <alignment vertical="center"/>
    </xf>
    <xf numFmtId="0" fontId="19" fillId="4" borderId="3" xfId="0" applyFont="1" applyFill="1" applyBorder="1" applyAlignment="1">
      <alignment vertical="center"/>
    </xf>
    <xf numFmtId="43" fontId="17" fillId="4" borderId="0" xfId="0" applyNumberFormat="1" applyFont="1" applyFill="1" applyAlignment="1">
      <alignment vertical="center"/>
    </xf>
    <xf numFmtId="164" fontId="17" fillId="4" borderId="0" xfId="2" applyNumberFormat="1" applyFont="1" applyFill="1" applyBorder="1" applyAlignment="1">
      <alignment vertical="center"/>
    </xf>
    <xf numFmtId="164" fontId="17" fillId="4" borderId="0" xfId="0" applyNumberFormat="1" applyFont="1" applyFill="1" applyAlignment="1">
      <alignment vertical="center"/>
    </xf>
    <xf numFmtId="0" fontId="19" fillId="4" borderId="1" xfId="0" applyFont="1" applyFill="1" applyBorder="1" applyAlignment="1">
      <alignment horizontal="left" vertical="center" indent="1"/>
    </xf>
    <xf numFmtId="0" fontId="6" fillId="4" borderId="4" xfId="0" applyFont="1" applyFill="1" applyBorder="1" applyAlignment="1">
      <alignment horizontal="left" vertical="center" indent="1"/>
    </xf>
    <xf numFmtId="164" fontId="17" fillId="4" borderId="3" xfId="2" applyNumberFormat="1" applyFont="1" applyFill="1" applyBorder="1" applyAlignment="1">
      <alignment vertical="center"/>
    </xf>
    <xf numFmtId="164" fontId="17" fillId="4" borderId="5" xfId="2" applyNumberFormat="1" applyFont="1" applyFill="1" applyBorder="1" applyAlignment="1">
      <alignment vertical="center"/>
    </xf>
    <xf numFmtId="2" fontId="17" fillId="4" borderId="5" xfId="0" applyNumberFormat="1" applyFont="1" applyFill="1" applyBorder="1" applyAlignment="1">
      <alignment vertical="center"/>
    </xf>
    <xf numFmtId="164" fontId="13" fillId="4" borderId="5" xfId="2" applyNumberFormat="1" applyFont="1" applyFill="1" applyBorder="1" applyAlignment="1">
      <alignment vertical="center"/>
    </xf>
    <xf numFmtId="164" fontId="13" fillId="4" borderId="8" xfId="2" applyNumberFormat="1" applyFont="1" applyFill="1" applyBorder="1" applyAlignment="1">
      <alignment vertical="center"/>
    </xf>
    <xf numFmtId="164" fontId="6" fillId="2" borderId="0" xfId="0" applyNumberFormat="1" applyFont="1" applyFill="1" applyAlignment="1">
      <alignment vertical="center"/>
    </xf>
    <xf numFmtId="164" fontId="17" fillId="4" borderId="5" xfId="0" applyNumberFormat="1" applyFont="1" applyFill="1" applyBorder="1" applyAlignment="1">
      <alignment vertical="center"/>
    </xf>
    <xf numFmtId="164" fontId="6" fillId="4" borderId="8" xfId="0" applyNumberFormat="1" applyFont="1" applyFill="1" applyBorder="1" applyAlignment="1">
      <alignment vertical="center"/>
    </xf>
    <xf numFmtId="164" fontId="6" fillId="4" borderId="3" xfId="2" applyNumberFormat="1" applyFont="1" applyFill="1" applyBorder="1" applyAlignment="1">
      <alignment vertical="center"/>
    </xf>
    <xf numFmtId="0" fontId="11" fillId="4" borderId="1" xfId="0" applyFont="1" applyFill="1" applyBorder="1" applyAlignment="1">
      <alignment horizontal="left" vertical="center" indent="1"/>
    </xf>
    <xf numFmtId="0" fontId="11" fillId="4" borderId="4" xfId="0" applyFont="1" applyFill="1" applyBorder="1" applyAlignment="1">
      <alignment vertical="center"/>
    </xf>
    <xf numFmtId="0" fontId="11" fillId="4" borderId="5" xfId="0" applyFont="1" applyFill="1" applyBorder="1" applyAlignment="1">
      <alignment vertical="center"/>
    </xf>
    <xf numFmtId="164" fontId="6" fillId="4" borderId="0" xfId="0" applyNumberFormat="1" applyFont="1" applyFill="1" applyAlignment="1">
      <alignment vertical="center"/>
    </xf>
    <xf numFmtId="164" fontId="21" fillId="4" borderId="0" xfId="0" applyNumberFormat="1" applyFont="1" applyFill="1" applyAlignment="1">
      <alignment vertical="center"/>
    </xf>
    <xf numFmtId="0" fontId="6" fillId="2" borderId="7" xfId="0" applyFont="1" applyFill="1" applyBorder="1" applyAlignment="1">
      <alignment horizontal="left" vertical="center"/>
    </xf>
    <xf numFmtId="0" fontId="10" fillId="4" borderId="1" xfId="0" applyFont="1" applyFill="1" applyBorder="1" applyAlignment="1">
      <alignment horizontal="left" vertical="center"/>
    </xf>
    <xf numFmtId="0" fontId="6" fillId="2" borderId="4" xfId="0" applyFont="1" applyFill="1" applyBorder="1" applyAlignment="1">
      <alignment horizontal="left" vertical="center"/>
    </xf>
    <xf numFmtId="0" fontId="6" fillId="2" borderId="6" xfId="0" applyFont="1" applyFill="1" applyBorder="1" applyAlignment="1">
      <alignment horizontal="left" vertical="center"/>
    </xf>
    <xf numFmtId="164" fontId="17" fillId="4" borderId="2" xfId="2" applyNumberFormat="1" applyFont="1" applyFill="1" applyBorder="1" applyAlignment="1">
      <alignment horizontal="left" vertical="center"/>
    </xf>
    <xf numFmtId="164" fontId="17" fillId="4" borderId="0" xfId="2" applyNumberFormat="1" applyFont="1" applyFill="1" applyBorder="1" applyAlignment="1">
      <alignment horizontal="left" vertical="center"/>
    </xf>
    <xf numFmtId="164" fontId="17" fillId="4" borderId="7" xfId="2" applyNumberFormat="1" applyFont="1" applyFill="1" applyBorder="1" applyAlignment="1">
      <alignment horizontal="left" vertical="center"/>
    </xf>
    <xf numFmtId="164" fontId="17" fillId="4" borderId="3" xfId="2" applyNumberFormat="1" applyFont="1" applyFill="1" applyBorder="1" applyAlignment="1">
      <alignment horizontal="left" vertical="center"/>
    </xf>
    <xf numFmtId="164" fontId="17" fillId="4" borderId="5" xfId="2" applyNumberFormat="1" applyFont="1" applyFill="1" applyBorder="1" applyAlignment="1">
      <alignment horizontal="left" vertical="center"/>
    </xf>
    <xf numFmtId="164" fontId="17" fillId="4" borderId="8" xfId="2" applyNumberFormat="1" applyFont="1" applyFill="1" applyBorder="1" applyAlignment="1">
      <alignment horizontal="left" vertical="center"/>
    </xf>
    <xf numFmtId="0" fontId="11" fillId="2" borderId="0" xfId="0" applyFont="1" applyFill="1" applyAlignment="1">
      <alignment vertical="center"/>
    </xf>
    <xf numFmtId="164" fontId="17" fillId="4" borderId="8" xfId="2" applyNumberFormat="1" applyFont="1" applyFill="1" applyBorder="1" applyAlignment="1">
      <alignment vertical="center"/>
    </xf>
    <xf numFmtId="164" fontId="6" fillId="2" borderId="0" xfId="0" applyNumberFormat="1" applyFont="1" applyFill="1" applyAlignment="1">
      <alignment horizontal="left" vertical="center"/>
    </xf>
    <xf numFmtId="1" fontId="21" fillId="4" borderId="3" xfId="0" applyNumberFormat="1" applyFont="1" applyFill="1" applyBorder="1" applyAlignment="1">
      <alignment vertical="center"/>
    </xf>
    <xf numFmtId="1" fontId="6" fillId="2" borderId="0" xfId="0" applyNumberFormat="1" applyFont="1" applyFill="1" applyAlignment="1">
      <alignment horizontal="left" vertical="center"/>
    </xf>
    <xf numFmtId="43" fontId="6" fillId="2" borderId="0" xfId="1" applyFont="1" applyFill="1" applyAlignment="1">
      <alignment horizontal="left" vertical="center"/>
    </xf>
    <xf numFmtId="0" fontId="10" fillId="2" borderId="0" xfId="0" applyFont="1" applyFill="1" applyAlignment="1">
      <alignment horizontal="left" vertical="center"/>
    </xf>
    <xf numFmtId="43" fontId="6" fillId="2" borderId="0" xfId="0" applyNumberFormat="1" applyFont="1" applyFill="1" applyAlignment="1">
      <alignment horizontal="left" vertical="center"/>
    </xf>
    <xf numFmtId="43" fontId="17" fillId="4" borderId="5" xfId="0" applyNumberFormat="1" applyFont="1" applyFill="1" applyBorder="1" applyAlignment="1">
      <alignment vertical="center"/>
    </xf>
    <xf numFmtId="43" fontId="17" fillId="4" borderId="5" xfId="1" applyFont="1" applyFill="1" applyBorder="1" applyAlignment="1">
      <alignment vertical="center"/>
    </xf>
    <xf numFmtId="43" fontId="17" fillId="4" borderId="8" xfId="1" applyFont="1" applyFill="1" applyBorder="1" applyAlignment="1">
      <alignment vertical="center"/>
    </xf>
    <xf numFmtId="0" fontId="19" fillId="4" borderId="1" xfId="0" applyFont="1" applyFill="1" applyBorder="1" applyAlignment="1">
      <alignment vertical="center"/>
    </xf>
    <xf numFmtId="2" fontId="17" fillId="4" borderId="8" xfId="0" applyNumberFormat="1" applyFont="1" applyFill="1" applyBorder="1" applyAlignment="1">
      <alignment horizontal="left" vertical="center"/>
    </xf>
    <xf numFmtId="2" fontId="6" fillId="2" borderId="0" xfId="0" applyNumberFormat="1" applyFont="1" applyFill="1" applyAlignment="1">
      <alignment vertical="center"/>
    </xf>
    <xf numFmtId="9" fontId="6" fillId="4" borderId="5" xfId="2" applyFont="1" applyFill="1" applyBorder="1" applyAlignment="1">
      <alignment vertical="center"/>
    </xf>
    <xf numFmtId="2" fontId="6" fillId="4" borderId="5" xfId="0" applyNumberFormat="1" applyFont="1" applyFill="1" applyBorder="1" applyAlignment="1">
      <alignment vertical="center"/>
    </xf>
    <xf numFmtId="43" fontId="6" fillId="4" borderId="5" xfId="0" applyNumberFormat="1" applyFont="1" applyFill="1" applyBorder="1" applyAlignment="1">
      <alignment vertical="center"/>
    </xf>
    <xf numFmtId="43" fontId="6" fillId="4" borderId="8" xfId="0" applyNumberFormat="1" applyFont="1" applyFill="1" applyBorder="1" applyAlignment="1">
      <alignment vertical="center"/>
    </xf>
    <xf numFmtId="0" fontId="22" fillId="2" borderId="0" xfId="0" applyFont="1" applyFill="1" applyAlignment="1">
      <alignment vertical="center"/>
    </xf>
    <xf numFmtId="0" fontId="6" fillId="4" borderId="2" xfId="0" applyFont="1" applyFill="1" applyBorder="1" applyAlignment="1">
      <alignment horizontal="left" vertical="center"/>
    </xf>
    <xf numFmtId="0" fontId="6" fillId="4" borderId="0" xfId="0" applyFont="1" applyFill="1" applyAlignment="1">
      <alignment horizontal="left" vertical="center"/>
    </xf>
    <xf numFmtId="9" fontId="6" fillId="4" borderId="0" xfId="0" applyNumberFormat="1" applyFont="1" applyFill="1" applyAlignment="1">
      <alignment horizontal="left" vertical="center"/>
    </xf>
    <xf numFmtId="0" fontId="6" fillId="4" borderId="7" xfId="0" applyFont="1" applyFill="1" applyBorder="1" applyAlignment="1">
      <alignment horizontal="left" vertical="center"/>
    </xf>
    <xf numFmtId="0" fontId="32" fillId="2" borderId="0" xfId="0" applyFont="1" applyFill="1" applyAlignment="1">
      <alignment vertical="center"/>
    </xf>
    <xf numFmtId="9" fontId="21" fillId="2" borderId="5" xfId="0" applyNumberFormat="1" applyFont="1" applyFill="1" applyBorder="1" applyAlignment="1">
      <alignment horizontal="left" vertical="center"/>
    </xf>
    <xf numFmtId="2" fontId="21" fillId="2" borderId="5" xfId="1" applyNumberFormat="1" applyFont="1" applyFill="1" applyBorder="1" applyAlignment="1">
      <alignment horizontal="left" vertical="center"/>
    </xf>
    <xf numFmtId="2" fontId="21" fillId="2" borderId="8" xfId="1" applyNumberFormat="1" applyFont="1" applyFill="1" applyBorder="1" applyAlignment="1">
      <alignment horizontal="left" vertical="center"/>
    </xf>
    <xf numFmtId="164" fontId="13" fillId="2" borderId="5" xfId="2" applyNumberFormat="1" applyFont="1" applyFill="1" applyBorder="1" applyAlignment="1">
      <alignment horizontal="center" vertical="center"/>
    </xf>
    <xf numFmtId="164" fontId="13" fillId="2" borderId="8" xfId="2" applyNumberFormat="1" applyFont="1" applyFill="1" applyBorder="1" applyAlignment="1">
      <alignment horizontal="center" vertical="center"/>
    </xf>
    <xf numFmtId="3" fontId="6" fillId="2" borderId="0" xfId="0" applyNumberFormat="1" applyFont="1" applyFill="1" applyAlignment="1">
      <alignment vertical="center"/>
    </xf>
    <xf numFmtId="0" fontId="0" fillId="2" borderId="0" xfId="0" applyFill="1" applyAlignment="1">
      <alignment horizontal="center" vertical="center"/>
    </xf>
    <xf numFmtId="0" fontId="2" fillId="2" borderId="0" xfId="0" applyFont="1" applyFill="1" applyAlignment="1">
      <alignment horizontal="left" vertical="center"/>
    </xf>
    <xf numFmtId="0" fontId="3" fillId="2" borderId="0" xfId="0" applyFont="1" applyFill="1" applyAlignment="1">
      <alignment horizontal="left" vertical="center"/>
    </xf>
    <xf numFmtId="0" fontId="4" fillId="2" borderId="0" xfId="0" applyFont="1" applyFill="1" applyAlignment="1">
      <alignment horizontal="left" vertical="top" wrapText="1"/>
    </xf>
    <xf numFmtId="0" fontId="5" fillId="2" borderId="0" xfId="0" applyFont="1" applyFill="1" applyAlignment="1">
      <alignment horizontal="left" vertical="top" wrapText="1"/>
    </xf>
    <xf numFmtId="0" fontId="7" fillId="4" borderId="1" xfId="0" applyFont="1" applyFill="1" applyBorder="1" applyAlignment="1">
      <alignment horizontal="left" vertical="center" wrapText="1" indent="1"/>
    </xf>
    <xf numFmtId="0" fontId="7" fillId="4" borderId="2" xfId="0" applyFont="1" applyFill="1" applyBorder="1" applyAlignment="1">
      <alignment horizontal="left" vertical="center" wrapText="1" indent="1"/>
    </xf>
    <xf numFmtId="0" fontId="7" fillId="4" borderId="3" xfId="0" applyFont="1" applyFill="1" applyBorder="1" applyAlignment="1">
      <alignment horizontal="left" vertical="center" wrapText="1" indent="1"/>
    </xf>
    <xf numFmtId="0" fontId="7" fillId="4" borderId="4" xfId="0" applyFont="1" applyFill="1" applyBorder="1" applyAlignment="1">
      <alignment horizontal="left" vertical="center" wrapText="1" indent="1"/>
    </xf>
    <xf numFmtId="0" fontId="7" fillId="4" borderId="0" xfId="0" applyFont="1" applyFill="1" applyAlignment="1">
      <alignment horizontal="left" vertical="center" wrapText="1" indent="1"/>
    </xf>
    <xf numFmtId="0" fontId="7" fillId="4" borderId="5" xfId="0" applyFont="1" applyFill="1" applyBorder="1" applyAlignment="1">
      <alignment horizontal="left" vertical="center" wrapText="1" indent="1"/>
    </xf>
    <xf numFmtId="0" fontId="7" fillId="4" borderId="6" xfId="0" applyFont="1" applyFill="1" applyBorder="1" applyAlignment="1">
      <alignment horizontal="left" vertical="center" wrapText="1" indent="1"/>
    </xf>
    <xf numFmtId="0" fontId="7" fillId="4" borderId="7" xfId="0" applyFont="1" applyFill="1" applyBorder="1" applyAlignment="1">
      <alignment horizontal="left" vertical="center" wrapText="1" indent="1"/>
    </xf>
    <xf numFmtId="0" fontId="7" fillId="4" borderId="8" xfId="0" applyFont="1" applyFill="1" applyBorder="1" applyAlignment="1">
      <alignment horizontal="left" vertical="center" wrapText="1" indent="1"/>
    </xf>
    <xf numFmtId="0" fontId="8" fillId="2" borderId="0" xfId="0" applyFont="1" applyFill="1" applyAlignment="1">
      <alignment horizontal="left" vertical="center" indent="1"/>
    </xf>
    <xf numFmtId="0" fontId="9" fillId="3" borderId="0" xfId="0" applyFont="1" applyFill="1" applyAlignment="1">
      <alignment horizontal="center" vertical="center"/>
    </xf>
    <xf numFmtId="0" fontId="11" fillId="4" borderId="0" xfId="0" applyFont="1" applyFill="1" applyAlignment="1">
      <alignment horizontal="left" vertical="center"/>
    </xf>
    <xf numFmtId="0" fontId="16" fillId="3" borderId="0" xfId="0" applyFont="1" applyFill="1" applyAlignment="1">
      <alignment horizontal="center" vertical="center"/>
    </xf>
    <xf numFmtId="0" fontId="6" fillId="4" borderId="1" xfId="0" applyFont="1" applyFill="1" applyBorder="1" applyAlignment="1">
      <alignment horizontal="left" vertical="center" wrapText="1"/>
    </xf>
    <xf numFmtId="0" fontId="6" fillId="4" borderId="2" xfId="0" applyFont="1" applyFill="1" applyBorder="1" applyAlignment="1">
      <alignment horizontal="left" vertical="center" wrapText="1"/>
    </xf>
    <xf numFmtId="0" fontId="6" fillId="4" borderId="3" xfId="0" applyFont="1" applyFill="1" applyBorder="1" applyAlignment="1">
      <alignment horizontal="left" vertical="center" wrapText="1"/>
    </xf>
    <xf numFmtId="0" fontId="6" fillId="4" borderId="4" xfId="0" applyFont="1" applyFill="1" applyBorder="1" applyAlignment="1">
      <alignment horizontal="left" vertical="center" wrapText="1"/>
    </xf>
    <xf numFmtId="0" fontId="6" fillId="4" borderId="0" xfId="0" applyFont="1" applyFill="1" applyAlignment="1">
      <alignment horizontal="left" vertical="center" wrapText="1"/>
    </xf>
    <xf numFmtId="0" fontId="6" fillId="4" borderId="5" xfId="0" applyFont="1" applyFill="1" applyBorder="1" applyAlignment="1">
      <alignment horizontal="left" vertical="center" wrapText="1"/>
    </xf>
    <xf numFmtId="0" fontId="6" fillId="4" borderId="6" xfId="0" applyFont="1" applyFill="1" applyBorder="1" applyAlignment="1">
      <alignment horizontal="left" vertical="center" wrapText="1"/>
    </xf>
    <xf numFmtId="0" fontId="6" fillId="4" borderId="7" xfId="0" applyFont="1" applyFill="1" applyBorder="1" applyAlignment="1">
      <alignment horizontal="left" vertical="center" wrapText="1"/>
    </xf>
    <xf numFmtId="0" fontId="6" fillId="4" borderId="8" xfId="0" applyFont="1" applyFill="1" applyBorder="1" applyAlignment="1">
      <alignment horizontal="left" vertical="center" wrapText="1"/>
    </xf>
    <xf numFmtId="0" fontId="11" fillId="4" borderId="1" xfId="0" applyFont="1" applyFill="1" applyBorder="1" applyAlignment="1">
      <alignment horizontal="left" vertical="center"/>
    </xf>
    <xf numFmtId="0" fontId="11" fillId="4" borderId="2" xfId="0" applyFont="1" applyFill="1" applyBorder="1" applyAlignment="1">
      <alignment horizontal="left" vertical="center"/>
    </xf>
    <xf numFmtId="0" fontId="11" fillId="4" borderId="3" xfId="0" applyFont="1" applyFill="1" applyBorder="1" applyAlignment="1">
      <alignment horizontal="left" vertical="center"/>
    </xf>
    <xf numFmtId="0" fontId="22" fillId="2" borderId="0" xfId="0" applyFont="1" applyFill="1" applyAlignment="1">
      <alignment horizontal="center" vertical="center"/>
    </xf>
    <xf numFmtId="0" fontId="23" fillId="4" borderId="1" xfId="0" applyFont="1" applyFill="1" applyBorder="1" applyAlignment="1">
      <alignment horizontal="left" vertical="center" wrapText="1" indent="1"/>
    </xf>
    <xf numFmtId="0" fontId="23" fillId="4" borderId="2" xfId="0" applyFont="1" applyFill="1" applyBorder="1" applyAlignment="1">
      <alignment horizontal="left" vertical="center" wrapText="1" indent="1"/>
    </xf>
    <xf numFmtId="0" fontId="23" fillId="4" borderId="3" xfId="0" applyFont="1" applyFill="1" applyBorder="1" applyAlignment="1">
      <alignment horizontal="left" vertical="center" wrapText="1" indent="1"/>
    </xf>
    <xf numFmtId="0" fontId="23" fillId="4" borderId="4" xfId="0" applyFont="1" applyFill="1" applyBorder="1" applyAlignment="1">
      <alignment horizontal="left" vertical="center" wrapText="1" indent="1"/>
    </xf>
    <xf numFmtId="0" fontId="23" fillId="4" borderId="0" xfId="0" applyFont="1" applyFill="1" applyAlignment="1">
      <alignment horizontal="left" vertical="center" wrapText="1" indent="1"/>
    </xf>
    <xf numFmtId="0" fontId="23" fillId="4" borderId="5" xfId="0" applyFont="1" applyFill="1" applyBorder="1" applyAlignment="1">
      <alignment horizontal="left" vertical="center" wrapText="1" indent="1"/>
    </xf>
    <xf numFmtId="0" fontId="23" fillId="4" borderId="6" xfId="0" applyFont="1" applyFill="1" applyBorder="1" applyAlignment="1">
      <alignment horizontal="left" vertical="center" wrapText="1" indent="1"/>
    </xf>
    <xf numFmtId="0" fontId="23" fillId="4" borderId="7" xfId="0" applyFont="1" applyFill="1" applyBorder="1" applyAlignment="1">
      <alignment horizontal="left" vertical="center" wrapText="1" indent="1"/>
    </xf>
    <xf numFmtId="0" fontId="23" fillId="4" borderId="8" xfId="0" applyFont="1" applyFill="1" applyBorder="1" applyAlignment="1">
      <alignment horizontal="left" vertical="center" wrapText="1" indent="1"/>
    </xf>
    <xf numFmtId="2" fontId="26" fillId="4" borderId="1" xfId="0" applyNumberFormat="1" applyFont="1" applyFill="1" applyBorder="1" applyAlignment="1">
      <alignment horizontal="center" vertical="center"/>
    </xf>
    <xf numFmtId="2" fontId="26" fillId="4" borderId="2" xfId="0" applyNumberFormat="1" applyFont="1" applyFill="1" applyBorder="1" applyAlignment="1">
      <alignment horizontal="center" vertical="center"/>
    </xf>
    <xf numFmtId="2" fontId="26" fillId="4" borderId="3" xfId="0" applyNumberFormat="1" applyFont="1" applyFill="1" applyBorder="1" applyAlignment="1">
      <alignment horizontal="center" vertical="center"/>
    </xf>
    <xf numFmtId="2" fontId="26" fillId="4" borderId="4" xfId="0" applyNumberFormat="1" applyFont="1" applyFill="1" applyBorder="1" applyAlignment="1">
      <alignment horizontal="center" vertical="center"/>
    </xf>
    <xf numFmtId="2" fontId="26" fillId="4" borderId="0" xfId="0" applyNumberFormat="1" applyFont="1" applyFill="1" applyAlignment="1">
      <alignment horizontal="center" vertical="center"/>
    </xf>
    <xf numFmtId="2" fontId="26" fillId="4" borderId="5" xfId="0" applyNumberFormat="1" applyFont="1" applyFill="1" applyBorder="1" applyAlignment="1">
      <alignment horizontal="center" vertical="center"/>
    </xf>
    <xf numFmtId="2" fontId="26" fillId="4" borderId="6" xfId="0" applyNumberFormat="1" applyFont="1" applyFill="1" applyBorder="1" applyAlignment="1">
      <alignment horizontal="center" vertical="center"/>
    </xf>
    <xf numFmtId="2" fontId="26" fillId="4" borderId="7" xfId="0" applyNumberFormat="1" applyFont="1" applyFill="1" applyBorder="1" applyAlignment="1">
      <alignment horizontal="center" vertical="center"/>
    </xf>
    <xf numFmtId="2" fontId="26" fillId="4" borderId="8" xfId="0" applyNumberFormat="1" applyFont="1" applyFill="1" applyBorder="1" applyAlignment="1">
      <alignment horizontal="center" vertical="center"/>
    </xf>
    <xf numFmtId="0" fontId="27" fillId="2" borderId="0" xfId="0" applyFont="1" applyFill="1" applyAlignment="1">
      <alignment horizontal="left" vertical="center"/>
    </xf>
    <xf numFmtId="0" fontId="28" fillId="4" borderId="1" xfId="0" applyFont="1" applyFill="1" applyBorder="1" applyAlignment="1">
      <alignment horizontal="left" vertical="center" wrapText="1"/>
    </xf>
    <xf numFmtId="0" fontId="28" fillId="4" borderId="2" xfId="0" applyFont="1" applyFill="1" applyBorder="1" applyAlignment="1">
      <alignment horizontal="left" vertical="center" wrapText="1"/>
    </xf>
    <xf numFmtId="0" fontId="28" fillId="4" borderId="3" xfId="0" applyFont="1" applyFill="1" applyBorder="1" applyAlignment="1">
      <alignment horizontal="left" vertical="center" wrapText="1"/>
    </xf>
    <xf numFmtId="0" fontId="28" fillId="4" borderId="4" xfId="0" applyFont="1" applyFill="1" applyBorder="1" applyAlignment="1">
      <alignment horizontal="left" vertical="center" wrapText="1"/>
    </xf>
    <xf numFmtId="0" fontId="28" fillId="4" borderId="0" xfId="0" applyFont="1" applyFill="1" applyAlignment="1">
      <alignment horizontal="left" vertical="center" wrapText="1"/>
    </xf>
    <xf numFmtId="0" fontId="28" fillId="4" borderId="5" xfId="0" applyFont="1" applyFill="1" applyBorder="1" applyAlignment="1">
      <alignment horizontal="left" vertical="center" wrapText="1"/>
    </xf>
    <xf numFmtId="0" fontId="28" fillId="4" borderId="6" xfId="0" applyFont="1" applyFill="1" applyBorder="1" applyAlignment="1">
      <alignment horizontal="left" vertical="center" wrapText="1"/>
    </xf>
    <xf numFmtId="0" fontId="28" fillId="4" borderId="7" xfId="0" applyFont="1" applyFill="1" applyBorder="1" applyAlignment="1">
      <alignment horizontal="left" vertical="center" wrapText="1"/>
    </xf>
    <xf numFmtId="0" fontId="28" fillId="4" borderId="8" xfId="0" applyFont="1" applyFill="1" applyBorder="1" applyAlignment="1">
      <alignment horizontal="left" vertical="center" wrapText="1"/>
    </xf>
    <xf numFmtId="0" fontId="33" fillId="4" borderId="0" xfId="0" applyFont="1" applyFill="1" applyAlignment="1">
      <alignment horizontal="center" vertical="center"/>
    </xf>
    <xf numFmtId="0" fontId="19" fillId="4" borderId="1" xfId="0" applyFont="1" applyFill="1" applyBorder="1" applyAlignment="1">
      <alignment horizontal="left" vertical="center"/>
    </xf>
    <xf numFmtId="0" fontId="19" fillId="4" borderId="2" xfId="0" applyFont="1" applyFill="1" applyBorder="1" applyAlignment="1">
      <alignment horizontal="left" vertical="center"/>
    </xf>
    <xf numFmtId="0" fontId="19" fillId="4" borderId="3" xfId="0" applyFont="1" applyFill="1" applyBorder="1" applyAlignment="1">
      <alignment horizontal="left" vertical="center"/>
    </xf>
    <xf numFmtId="0" fontId="32" fillId="3" borderId="0" xfId="0" applyFont="1" applyFill="1" applyAlignment="1">
      <alignment horizontal="center" vertical="center"/>
    </xf>
    <xf numFmtId="0" fontId="11" fillId="4" borderId="0" xfId="0" applyFont="1" applyFill="1" applyAlignment="1">
      <alignment horizontal="center" vertical="center"/>
    </xf>
    <xf numFmtId="164" fontId="6" fillId="2" borderId="0" xfId="0" applyNumberFormat="1" applyFont="1" applyFill="1" applyAlignment="1">
      <alignment horizontal="center" vertical="center"/>
    </xf>
    <xf numFmtId="0" fontId="6" fillId="2" borderId="0" xfId="0" applyFont="1" applyFill="1" applyAlignment="1">
      <alignment horizontal="center" vertical="center"/>
    </xf>
    <xf numFmtId="2" fontId="30" fillId="4" borderId="1" xfId="0" applyNumberFormat="1" applyFont="1" applyFill="1" applyBorder="1" applyAlignment="1">
      <alignment horizontal="center" vertical="center"/>
    </xf>
    <xf numFmtId="2" fontId="30" fillId="4" borderId="2" xfId="0" applyNumberFormat="1" applyFont="1" applyFill="1" applyBorder="1" applyAlignment="1">
      <alignment horizontal="center" vertical="center"/>
    </xf>
    <xf numFmtId="2" fontId="30" fillId="4" borderId="3" xfId="0" applyNumberFormat="1" applyFont="1" applyFill="1" applyBorder="1" applyAlignment="1">
      <alignment horizontal="center" vertical="center"/>
    </xf>
    <xf numFmtId="2" fontId="30" fillId="4" borderId="4" xfId="0" applyNumberFormat="1" applyFont="1" applyFill="1" applyBorder="1" applyAlignment="1">
      <alignment horizontal="center" vertical="center"/>
    </xf>
    <xf numFmtId="2" fontId="30" fillId="4" borderId="0" xfId="0" applyNumberFormat="1" applyFont="1" applyFill="1" applyAlignment="1">
      <alignment horizontal="center" vertical="center"/>
    </xf>
    <xf numFmtId="2" fontId="30" fillId="4" borderId="5" xfId="0" applyNumberFormat="1" applyFont="1" applyFill="1" applyBorder="1" applyAlignment="1">
      <alignment horizontal="center" vertical="center"/>
    </xf>
    <xf numFmtId="0" fontId="6" fillId="4" borderId="4" xfId="0" applyFont="1" applyFill="1" applyBorder="1" applyAlignment="1">
      <alignment horizontal="center" vertical="center"/>
    </xf>
    <xf numFmtId="0" fontId="6" fillId="4" borderId="0" xfId="0" applyFont="1" applyFill="1" applyAlignment="1">
      <alignment horizontal="center" vertical="center"/>
    </xf>
    <xf numFmtId="0" fontId="6" fillId="4" borderId="5" xfId="0" applyFont="1" applyFill="1" applyBorder="1" applyAlignment="1">
      <alignment horizontal="center" vertical="center"/>
    </xf>
    <xf numFmtId="0" fontId="6" fillId="4" borderId="6" xfId="0" applyFont="1" applyFill="1" applyBorder="1" applyAlignment="1">
      <alignment horizontal="center" vertical="center"/>
    </xf>
    <xf numFmtId="0" fontId="6" fillId="4" borderId="7" xfId="0" applyFont="1" applyFill="1" applyBorder="1" applyAlignment="1">
      <alignment horizontal="center" vertical="center"/>
    </xf>
    <xf numFmtId="0" fontId="6" fillId="4" borderId="8" xfId="0" applyFont="1" applyFill="1" applyBorder="1" applyAlignment="1">
      <alignment horizontal="center" vertical="center"/>
    </xf>
    <xf numFmtId="2" fontId="31" fillId="4" borderId="1" xfId="0" applyNumberFormat="1" applyFont="1" applyFill="1" applyBorder="1" applyAlignment="1">
      <alignment horizontal="center" vertical="center"/>
    </xf>
    <xf numFmtId="2" fontId="31" fillId="4" borderId="2" xfId="0" applyNumberFormat="1" applyFont="1" applyFill="1" applyBorder="1" applyAlignment="1">
      <alignment horizontal="center" vertical="center"/>
    </xf>
    <xf numFmtId="2" fontId="31" fillId="4" borderId="3" xfId="0" applyNumberFormat="1" applyFont="1" applyFill="1" applyBorder="1" applyAlignment="1">
      <alignment horizontal="center" vertical="center"/>
    </xf>
    <xf numFmtId="2" fontId="31" fillId="4" borderId="4" xfId="0" applyNumberFormat="1" applyFont="1" applyFill="1" applyBorder="1" applyAlignment="1">
      <alignment horizontal="center" vertical="center"/>
    </xf>
    <xf numFmtId="2" fontId="31" fillId="4" borderId="0" xfId="0" applyNumberFormat="1" applyFont="1" applyFill="1" applyAlignment="1">
      <alignment horizontal="center" vertical="center"/>
    </xf>
    <xf numFmtId="2" fontId="31" fillId="4" borderId="5" xfId="0" applyNumberFormat="1" applyFont="1" applyFill="1" applyBorder="1" applyAlignment="1">
      <alignment horizontal="center" vertical="center"/>
    </xf>
    <xf numFmtId="2" fontId="29" fillId="4" borderId="12" xfId="0" applyNumberFormat="1" applyFont="1" applyFill="1" applyBorder="1" applyAlignment="1">
      <alignment horizontal="center" vertical="center"/>
    </xf>
    <xf numFmtId="2" fontId="29" fillId="4" borderId="13" xfId="0" applyNumberFormat="1" applyFont="1" applyFill="1" applyBorder="1" applyAlignment="1">
      <alignment horizontal="center" vertical="center"/>
    </xf>
    <xf numFmtId="2" fontId="29" fillId="4" borderId="14" xfId="0" applyNumberFormat="1" applyFont="1" applyFill="1" applyBorder="1" applyAlignment="1">
      <alignment horizontal="center" vertical="center"/>
    </xf>
    <xf numFmtId="2" fontId="29" fillId="4" borderId="15" xfId="0" applyNumberFormat="1" applyFont="1" applyFill="1" applyBorder="1" applyAlignment="1">
      <alignment horizontal="center" vertical="center"/>
    </xf>
    <xf numFmtId="2" fontId="29" fillId="4" borderId="0" xfId="0" applyNumberFormat="1" applyFont="1" applyFill="1" applyAlignment="1">
      <alignment horizontal="center" vertical="center"/>
    </xf>
    <xf numFmtId="2" fontId="29" fillId="4" borderId="16" xfId="0" applyNumberFormat="1" applyFont="1" applyFill="1" applyBorder="1" applyAlignment="1">
      <alignment horizontal="center" vertical="center"/>
    </xf>
    <xf numFmtId="0" fontId="22" fillId="4" borderId="17" xfId="0" applyFont="1" applyFill="1" applyBorder="1" applyAlignment="1">
      <alignment horizontal="center" vertical="center"/>
    </xf>
    <xf numFmtId="0" fontId="22" fillId="4" borderId="18" xfId="0" applyFont="1" applyFill="1" applyBorder="1" applyAlignment="1">
      <alignment horizontal="center" vertical="center"/>
    </xf>
    <xf numFmtId="0" fontId="22" fillId="4" borderId="19" xfId="0" applyFont="1" applyFill="1" applyBorder="1" applyAlignment="1">
      <alignment horizontal="center" vertical="center"/>
    </xf>
    <xf numFmtId="0" fontId="35" fillId="4" borderId="0" xfId="0" applyFont="1" applyFill="1" applyAlignment="1">
      <alignment horizontal="center" vertical="center"/>
    </xf>
    <xf numFmtId="0" fontId="35" fillId="4" borderId="7" xfId="0" applyFont="1" applyFill="1" applyBorder="1" applyAlignment="1">
      <alignment horizontal="center" vertical="center"/>
    </xf>
    <xf numFmtId="0" fontId="6" fillId="4" borderId="9" xfId="0" applyFont="1" applyFill="1" applyBorder="1" applyAlignment="1">
      <alignment horizontal="center" vertical="center"/>
    </xf>
    <xf numFmtId="0" fontId="6" fillId="4" borderId="11" xfId="0" applyFont="1" applyFill="1" applyBorder="1" applyAlignment="1">
      <alignment horizontal="center" vertical="center"/>
    </xf>
    <xf numFmtId="164" fontId="25" fillId="4" borderId="1" xfId="2" applyNumberFormat="1" applyFont="1" applyFill="1" applyBorder="1" applyAlignment="1">
      <alignment horizontal="center" vertical="center"/>
    </xf>
    <xf numFmtId="164" fontId="25" fillId="4" borderId="2" xfId="2" applyNumberFormat="1" applyFont="1" applyFill="1" applyBorder="1" applyAlignment="1">
      <alignment horizontal="center" vertical="center"/>
    </xf>
    <xf numFmtId="164" fontId="25" fillId="4" borderId="3" xfId="2" applyNumberFormat="1" applyFont="1" applyFill="1" applyBorder="1" applyAlignment="1">
      <alignment horizontal="center" vertical="center"/>
    </xf>
    <xf numFmtId="164" fontId="25" fillId="4" borderId="4" xfId="2" applyNumberFormat="1" applyFont="1" applyFill="1" applyBorder="1" applyAlignment="1">
      <alignment horizontal="center" vertical="center"/>
    </xf>
    <xf numFmtId="164" fontId="25" fillId="4" borderId="0" xfId="2" applyNumberFormat="1" applyFont="1" applyFill="1" applyBorder="1" applyAlignment="1">
      <alignment horizontal="center" vertical="center"/>
    </xf>
    <xf numFmtId="164" fontId="25" fillId="4" borderId="5" xfId="2" applyNumberFormat="1" applyFont="1" applyFill="1" applyBorder="1" applyAlignment="1">
      <alignment horizontal="center" vertical="center"/>
    </xf>
    <xf numFmtId="0" fontId="34" fillId="4" borderId="0" xfId="0" applyFont="1" applyFill="1" applyAlignment="1">
      <alignment horizontal="center" vertical="center"/>
    </xf>
    <xf numFmtId="0" fontId="34" fillId="4" borderId="7" xfId="0" applyFont="1" applyFill="1" applyBorder="1" applyAlignment="1">
      <alignment horizontal="center" vertical="center"/>
    </xf>
    <xf numFmtId="0" fontId="6" fillId="2" borderId="0" xfId="0" applyFont="1" applyFill="1" applyBorder="1" applyAlignment="1">
      <alignment vertical="center"/>
    </xf>
    <xf numFmtId="0" fontId="37" fillId="4" borderId="1" xfId="0" applyFont="1" applyFill="1" applyBorder="1" applyAlignment="1">
      <alignment horizontal="center" vertical="center"/>
    </xf>
    <xf numFmtId="0" fontId="37" fillId="4" borderId="2" xfId="0" applyFont="1" applyFill="1" applyBorder="1" applyAlignment="1">
      <alignment horizontal="center" vertical="center"/>
    </xf>
    <xf numFmtId="0" fontId="37" fillId="4" borderId="3" xfId="0" applyFont="1" applyFill="1" applyBorder="1" applyAlignment="1">
      <alignment horizontal="center" vertical="center"/>
    </xf>
    <xf numFmtId="0" fontId="19" fillId="4" borderId="0" xfId="0" applyFont="1" applyFill="1" applyBorder="1" applyAlignment="1">
      <alignment horizontal="right" vertical="center"/>
    </xf>
    <xf numFmtId="0" fontId="19" fillId="4" borderId="5" xfId="0" applyFont="1" applyFill="1" applyBorder="1" applyAlignment="1">
      <alignment horizontal="right" vertical="center"/>
    </xf>
    <xf numFmtId="164" fontId="22" fillId="2" borderId="0" xfId="2" applyNumberFormat="1" applyFont="1" applyFill="1" applyBorder="1" applyAlignment="1">
      <alignment horizontal="right" vertical="center"/>
    </xf>
    <xf numFmtId="164" fontId="22" fillId="2" borderId="5" xfId="2" applyNumberFormat="1" applyFont="1" applyFill="1" applyBorder="1" applyAlignment="1">
      <alignment horizontal="right" vertical="center"/>
    </xf>
    <xf numFmtId="164" fontId="22" fillId="2" borderId="7" xfId="2" applyNumberFormat="1" applyFont="1" applyFill="1" applyBorder="1" applyAlignment="1">
      <alignment horizontal="right" vertical="center"/>
    </xf>
    <xf numFmtId="164" fontId="22" fillId="2" borderId="8" xfId="2" applyNumberFormat="1" applyFont="1" applyFill="1" applyBorder="1" applyAlignment="1">
      <alignment horizontal="right" vertical="center"/>
    </xf>
    <xf numFmtId="43" fontId="6" fillId="2" borderId="5" xfId="1" applyFont="1" applyFill="1" applyBorder="1" applyAlignment="1">
      <alignment vertical="center"/>
    </xf>
    <xf numFmtId="9" fontId="6" fillId="2" borderId="5" xfId="0" applyNumberFormat="1" applyFont="1" applyFill="1" applyBorder="1" applyAlignment="1">
      <alignment vertical="center"/>
    </xf>
    <xf numFmtId="0" fontId="37" fillId="4" borderId="1" xfId="0" applyFont="1" applyFill="1" applyBorder="1" applyAlignment="1">
      <alignment horizontal="left" vertical="center" indent="1"/>
    </xf>
    <xf numFmtId="0" fontId="37" fillId="4" borderId="2" xfId="0" applyFont="1" applyFill="1" applyBorder="1" applyAlignment="1">
      <alignment horizontal="left" vertical="center" indent="1"/>
    </xf>
    <xf numFmtId="0" fontId="37" fillId="4" borderId="3" xfId="0" applyFont="1" applyFill="1" applyBorder="1" applyAlignment="1">
      <alignment horizontal="left" vertical="center" indent="1"/>
    </xf>
    <xf numFmtId="0" fontId="6" fillId="4" borderId="1" xfId="0" applyFont="1" applyFill="1" applyBorder="1" applyAlignment="1">
      <alignment horizontal="left" vertical="center" wrapText="1" indent="1"/>
    </xf>
    <xf numFmtId="0" fontId="6" fillId="4" borderId="2" xfId="0" applyFont="1" applyFill="1" applyBorder="1" applyAlignment="1">
      <alignment horizontal="left" vertical="center" indent="1"/>
    </xf>
    <xf numFmtId="0" fontId="6" fillId="4" borderId="3" xfId="0" applyFont="1" applyFill="1" applyBorder="1" applyAlignment="1">
      <alignment horizontal="left" vertical="center" indent="1"/>
    </xf>
    <xf numFmtId="0" fontId="6" fillId="4" borderId="4" xfId="0" applyFont="1" applyFill="1" applyBorder="1" applyAlignment="1">
      <alignment horizontal="left" vertical="center" indent="1"/>
    </xf>
    <xf numFmtId="0" fontId="6" fillId="4" borderId="0" xfId="0" applyFont="1" applyFill="1" applyBorder="1" applyAlignment="1">
      <alignment horizontal="left" vertical="center" indent="1"/>
    </xf>
    <xf numFmtId="0" fontId="6" fillId="4" borderId="5" xfId="0" applyFont="1" applyFill="1" applyBorder="1" applyAlignment="1">
      <alignment horizontal="left" vertical="center" indent="1"/>
    </xf>
    <xf numFmtId="0" fontId="6" fillId="4" borderId="6" xfId="0" applyFont="1" applyFill="1" applyBorder="1" applyAlignment="1">
      <alignment horizontal="left" vertical="center" indent="1"/>
    </xf>
    <xf numFmtId="0" fontId="6" fillId="4" borderId="7" xfId="0" applyFont="1" applyFill="1" applyBorder="1" applyAlignment="1">
      <alignment horizontal="left" vertical="center" indent="1"/>
    </xf>
    <xf numFmtId="0" fontId="6" fillId="4" borderId="8" xfId="0" applyFont="1" applyFill="1" applyBorder="1" applyAlignment="1">
      <alignment horizontal="left" vertical="center" indent="1"/>
    </xf>
    <xf numFmtId="0" fontId="19" fillId="4" borderId="1" xfId="0" applyFont="1" applyFill="1" applyBorder="1" applyAlignment="1">
      <alignment horizontal="left" vertical="center" indent="1"/>
    </xf>
    <xf numFmtId="0" fontId="19" fillId="4" borderId="2" xfId="0" applyFont="1" applyFill="1" applyBorder="1" applyAlignment="1">
      <alignment horizontal="left" vertical="center" indent="1"/>
    </xf>
    <xf numFmtId="0" fontId="19" fillId="4" borderId="3" xfId="0" applyFont="1" applyFill="1" applyBorder="1" applyAlignment="1">
      <alignment horizontal="left" vertical="center" indent="1"/>
    </xf>
    <xf numFmtId="0" fontId="6" fillId="2" borderId="4" xfId="0" applyFont="1" applyFill="1" applyBorder="1" applyAlignment="1">
      <alignment horizontal="left" vertical="center" indent="1"/>
    </xf>
    <xf numFmtId="0" fontId="6" fillId="2" borderId="6" xfId="0" applyFont="1" applyFill="1" applyBorder="1" applyAlignment="1">
      <alignment horizontal="left" vertical="center" indent="1"/>
    </xf>
    <xf numFmtId="0" fontId="22" fillId="2" borderId="4" xfId="0" applyFont="1" applyFill="1" applyBorder="1" applyAlignment="1">
      <alignment horizontal="left" vertical="center" indent="1"/>
    </xf>
    <xf numFmtId="0" fontId="22" fillId="2" borderId="6" xfId="0" applyFont="1" applyFill="1" applyBorder="1" applyAlignment="1">
      <alignment horizontal="left" vertical="center" indent="1"/>
    </xf>
    <xf numFmtId="0" fontId="19" fillId="4" borderId="4" xfId="0" applyFont="1" applyFill="1" applyBorder="1" applyAlignment="1">
      <alignment horizontal="left" vertical="center" indent="1"/>
    </xf>
    <xf numFmtId="164" fontId="22" fillId="5" borderId="2" xfId="2" applyNumberFormat="1" applyFont="1" applyFill="1" applyBorder="1" applyAlignment="1">
      <alignment vertical="center"/>
    </xf>
    <xf numFmtId="164" fontId="22" fillId="5" borderId="3" xfId="2" applyNumberFormat="1" applyFont="1" applyFill="1" applyBorder="1" applyAlignment="1">
      <alignment vertical="center"/>
    </xf>
    <xf numFmtId="2" fontId="36" fillId="5" borderId="9" xfId="0" applyNumberFormat="1" applyFont="1" applyFill="1" applyBorder="1" applyAlignment="1">
      <alignment vertical="center"/>
    </xf>
    <xf numFmtId="164" fontId="22" fillId="5" borderId="4" xfId="2" applyNumberFormat="1" applyFont="1" applyFill="1" applyBorder="1" applyAlignment="1">
      <alignment vertical="center"/>
    </xf>
    <xf numFmtId="164" fontId="22" fillId="5" borderId="6" xfId="2" applyNumberFormat="1" applyFont="1" applyFill="1" applyBorder="1" applyAlignment="1">
      <alignment vertical="center"/>
    </xf>
    <xf numFmtId="0" fontId="37" fillId="4" borderId="9" xfId="0" applyFont="1" applyFill="1" applyBorder="1" applyAlignment="1">
      <alignment horizontal="center" vertical="center"/>
    </xf>
    <xf numFmtId="0" fontId="37" fillId="4" borderId="11" xfId="0" applyFont="1" applyFill="1" applyBorder="1" applyAlignment="1">
      <alignment horizontal="center" vertical="center"/>
    </xf>
    <xf numFmtId="0" fontId="37" fillId="4" borderId="10" xfId="0" applyFont="1" applyFill="1" applyBorder="1" applyAlignment="1">
      <alignment horizontal="center" vertical="center"/>
    </xf>
    <xf numFmtId="9" fontId="23" fillId="6" borderId="5" xfId="2" applyFont="1" applyFill="1" applyBorder="1" applyAlignment="1">
      <alignment vertical="center"/>
    </xf>
    <xf numFmtId="2" fontId="38" fillId="4" borderId="1" xfId="1" applyNumberFormat="1" applyFont="1" applyFill="1" applyBorder="1" applyAlignment="1">
      <alignment vertical="center"/>
    </xf>
    <xf numFmtId="2" fontId="38" fillId="4" borderId="2" xfId="1" applyNumberFormat="1" applyFont="1" applyFill="1" applyBorder="1" applyAlignment="1">
      <alignment vertical="center"/>
    </xf>
    <xf numFmtId="2" fontId="38" fillId="4" borderId="3" xfId="1" applyNumberFormat="1" applyFont="1" applyFill="1" applyBorder="1" applyAlignment="1">
      <alignment vertical="center"/>
    </xf>
    <xf numFmtId="2" fontId="38" fillId="4" borderId="4" xfId="1" applyNumberFormat="1" applyFont="1" applyFill="1" applyBorder="1" applyAlignment="1">
      <alignment vertical="center"/>
    </xf>
    <xf numFmtId="2" fontId="38" fillId="4" borderId="0" xfId="1" applyNumberFormat="1" applyFont="1" applyFill="1" applyBorder="1" applyAlignment="1">
      <alignment vertical="center"/>
    </xf>
    <xf numFmtId="2" fontId="38" fillId="4" borderId="5" xfId="1" applyNumberFormat="1" applyFont="1" applyFill="1" applyBorder="1" applyAlignment="1">
      <alignment vertical="center"/>
    </xf>
    <xf numFmtId="2" fontId="38" fillId="4" borderId="6" xfId="1" applyNumberFormat="1" applyFont="1" applyFill="1" applyBorder="1" applyAlignment="1">
      <alignment vertical="center"/>
    </xf>
    <xf numFmtId="2" fontId="38" fillId="4" borderId="7" xfId="1" applyNumberFormat="1" applyFont="1" applyFill="1" applyBorder="1" applyAlignment="1">
      <alignment vertical="center"/>
    </xf>
    <xf numFmtId="2" fontId="38" fillId="4" borderId="8" xfId="1" applyNumberFormat="1" applyFont="1" applyFill="1" applyBorder="1" applyAlignment="1">
      <alignment vertical="center"/>
    </xf>
    <xf numFmtId="0" fontId="39" fillId="4" borderId="1" xfId="0" applyFont="1" applyFill="1" applyBorder="1" applyAlignment="1">
      <alignment horizontal="center" vertical="center"/>
    </xf>
    <xf numFmtId="0" fontId="39" fillId="4" borderId="2" xfId="0" applyFont="1" applyFill="1" applyBorder="1" applyAlignment="1">
      <alignment horizontal="center" vertical="center"/>
    </xf>
    <xf numFmtId="0" fontId="39" fillId="4" borderId="3" xfId="0" applyFont="1" applyFill="1" applyBorder="1" applyAlignment="1">
      <alignment horizontal="center" vertical="center"/>
    </xf>
    <xf numFmtId="2" fontId="22" fillId="2" borderId="5" xfId="0" applyNumberFormat="1" applyFont="1" applyFill="1" applyBorder="1" applyAlignment="1">
      <alignment horizontal="right" vertical="center"/>
    </xf>
    <xf numFmtId="2" fontId="6" fillId="2" borderId="5" xfId="1" applyNumberFormat="1" applyFont="1" applyFill="1" applyBorder="1" applyAlignment="1">
      <alignment vertical="center"/>
    </xf>
    <xf numFmtId="2" fontId="6" fillId="2" borderId="5" xfId="0" applyNumberFormat="1" applyFont="1" applyFill="1" applyBorder="1" applyAlignment="1">
      <alignment vertical="center"/>
    </xf>
    <xf numFmtId="2" fontId="22" fillId="2" borderId="0" xfId="0" applyNumberFormat="1" applyFont="1" applyFill="1" applyBorder="1" applyAlignment="1">
      <alignment horizontal="right" vertical="center"/>
    </xf>
  </cellXfs>
  <cellStyles count="3">
    <cellStyle name="Comma" xfId="1" builtinId="3"/>
    <cellStyle name="Normal" xfId="0" builtinId="0"/>
    <cellStyle name="Percent" xfId="2" builtinId="5"/>
  </cellStyles>
  <dxfs count="10">
    <dxf>
      <font>
        <color rgb="FFE5E5E5"/>
      </font>
      <fill>
        <patternFill>
          <bgColor rgb="FF008000"/>
        </patternFill>
      </fill>
    </dxf>
    <dxf>
      <font>
        <color rgb="FFF4EEFA"/>
      </font>
      <fill>
        <patternFill>
          <bgColor rgb="FFCC0018"/>
        </patternFill>
      </fill>
    </dxf>
    <dxf>
      <font>
        <color rgb="FFE5E5E5"/>
      </font>
      <fill>
        <patternFill>
          <fgColor theme="0"/>
          <bgColor rgb="FF008000"/>
        </patternFill>
      </fill>
    </dxf>
    <dxf>
      <font>
        <color rgb="FFE5E5E5"/>
      </font>
      <fill>
        <patternFill>
          <bgColor rgb="FFA80000"/>
        </patternFill>
      </fill>
    </dxf>
    <dxf>
      <font>
        <color rgb="FFE5E5E5"/>
      </font>
      <fill>
        <patternFill>
          <bgColor rgb="FF009C31"/>
        </patternFill>
      </fill>
    </dxf>
    <dxf>
      <font>
        <color rgb="FFE5E5E5"/>
      </font>
      <fill>
        <patternFill>
          <fgColor rgb="FFB80000"/>
        </patternFill>
      </fill>
    </dxf>
    <dxf>
      <font>
        <color rgb="FFE5E5E5"/>
      </font>
      <fill>
        <patternFill>
          <bgColor rgb="FF009C31"/>
        </patternFill>
      </fill>
    </dxf>
    <dxf>
      <font>
        <color rgb="FFE5E5E5"/>
      </font>
      <fill>
        <patternFill>
          <bgColor theme="5" tint="-0.24994659260841701"/>
        </patternFill>
      </fill>
    </dxf>
    <dxf>
      <font>
        <color rgb="FFE5E5E5"/>
      </font>
      <fill>
        <patternFill>
          <bgColor rgb="FFB80000"/>
        </patternFill>
      </fill>
    </dxf>
    <dxf>
      <font>
        <color rgb="FFE5E5E5"/>
      </font>
      <fill>
        <patternFill>
          <bgColor theme="5" tint="-0.24994659260841701"/>
        </patternFill>
      </fill>
    </dxf>
  </dxfs>
  <tableStyles count="0" defaultTableStyle="TableStyleMedium2" defaultPivotStyle="PivotStyleLight16"/>
  <colors>
    <mruColors>
      <color rgb="FF121212"/>
      <color rgb="FFE5E5E5"/>
      <color rgb="FF008000"/>
      <color rgb="FF009C31"/>
      <color rgb="FF1F1F1F"/>
      <color rgb="FF33CC33"/>
      <color rgb="FFA80000"/>
      <color rgb="FFBC0000"/>
      <color rgb="FFCCFF99"/>
      <color rgb="FF38E07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17/06/relationships/rdRichValue" Target="richData/rdrichvalue.xml"/><Relationship Id="rId3" Type="http://schemas.openxmlformats.org/officeDocument/2006/relationships/worksheet" Target="worksheets/sheet3.xml"/><Relationship Id="rId21" Type="http://schemas.microsoft.com/office/2017/06/relationships/rdSupportingPropertyBagStructure" Target="richData/rdsupportingpropertybag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22/10/relationships/richValueRel" Target="richData/richValueRel.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17/06/relationships/richStyles" Target="richData/rich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sharedStrings" Target="sharedStrings.xml"/><Relationship Id="rId23" Type="http://schemas.microsoft.com/office/2017/06/relationships/rdRichValueTypes" Target="richData/rdRichValueTypes.xml"/><Relationship Id="rId10" Type="http://schemas.openxmlformats.org/officeDocument/2006/relationships/worksheet" Target="worksheets/sheet10.xml"/><Relationship Id="rId19"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r>
              <a:rPr lang="en-US" sz="1200" b="1">
                <a:solidFill>
                  <a:srgbClr val="009C31"/>
                </a:solidFill>
              </a:rPr>
              <a:t>Intrinsic Value Distribution (Monte Carlo)</a:t>
            </a:r>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MonteCarlo_Results!$C$17</c:f>
              <c:strCache>
                <c:ptCount val="1"/>
                <c:pt idx="0">
                  <c:v>Frequency</c:v>
                </c:pt>
              </c:strCache>
            </c:strRef>
          </c:tx>
          <c:spPr>
            <a:solidFill>
              <a:srgbClr val="009C31"/>
            </a:solidFill>
            <a:ln>
              <a:noFill/>
            </a:ln>
            <a:effectLst/>
          </c:spPr>
          <c:invertIfNegative val="0"/>
          <c:cat>
            <c:numRef>
              <c:f>MonteCarlo_Results!$B$18:$B$35</c:f>
              <c:numCache>
                <c:formatCode>General</c:formatCode>
                <c:ptCount val="18"/>
                <c:pt idx="0">
                  <c:v>0</c:v>
                </c:pt>
                <c:pt idx="1">
                  <c:v>150</c:v>
                </c:pt>
                <c:pt idx="2">
                  <c:v>300</c:v>
                </c:pt>
                <c:pt idx="3">
                  <c:v>450</c:v>
                </c:pt>
                <c:pt idx="4">
                  <c:v>600</c:v>
                </c:pt>
                <c:pt idx="5">
                  <c:v>750</c:v>
                </c:pt>
                <c:pt idx="6">
                  <c:v>900</c:v>
                </c:pt>
                <c:pt idx="7">
                  <c:v>1050</c:v>
                </c:pt>
                <c:pt idx="8">
                  <c:v>1200</c:v>
                </c:pt>
                <c:pt idx="9">
                  <c:v>1350</c:v>
                </c:pt>
                <c:pt idx="10">
                  <c:v>1500</c:v>
                </c:pt>
                <c:pt idx="11">
                  <c:v>1650</c:v>
                </c:pt>
                <c:pt idx="12">
                  <c:v>1800</c:v>
                </c:pt>
                <c:pt idx="13">
                  <c:v>1950</c:v>
                </c:pt>
                <c:pt idx="14">
                  <c:v>2100</c:v>
                </c:pt>
                <c:pt idx="15">
                  <c:v>2250</c:v>
                </c:pt>
                <c:pt idx="16">
                  <c:v>2400</c:v>
                </c:pt>
                <c:pt idx="17">
                  <c:v>2550</c:v>
                </c:pt>
              </c:numCache>
            </c:numRef>
          </c:cat>
          <c:val>
            <c:numRef>
              <c:f>MonteCarlo_Results!$C$18:$C$35</c:f>
              <c:numCache>
                <c:formatCode>General</c:formatCode>
                <c:ptCount val="18"/>
                <c:pt idx="0">
                  <c:v>117</c:v>
                </c:pt>
                <c:pt idx="1">
                  <c:v>627</c:v>
                </c:pt>
                <c:pt idx="2">
                  <c:v>438</c:v>
                </c:pt>
                <c:pt idx="3">
                  <c:v>179</c:v>
                </c:pt>
                <c:pt idx="4">
                  <c:v>69</c:v>
                </c:pt>
                <c:pt idx="5">
                  <c:v>39</c:v>
                </c:pt>
                <c:pt idx="6">
                  <c:v>15</c:v>
                </c:pt>
                <c:pt idx="7">
                  <c:v>6</c:v>
                </c:pt>
                <c:pt idx="8">
                  <c:v>3</c:v>
                </c:pt>
                <c:pt idx="9">
                  <c:v>1</c:v>
                </c:pt>
                <c:pt idx="10">
                  <c:v>1</c:v>
                </c:pt>
                <c:pt idx="11">
                  <c:v>1</c:v>
                </c:pt>
                <c:pt idx="12">
                  <c:v>1</c:v>
                </c:pt>
                <c:pt idx="13">
                  <c:v>0</c:v>
                </c:pt>
                <c:pt idx="14">
                  <c:v>0</c:v>
                </c:pt>
                <c:pt idx="15">
                  <c:v>0</c:v>
                </c:pt>
                <c:pt idx="16">
                  <c:v>1</c:v>
                </c:pt>
                <c:pt idx="17">
                  <c:v>1</c:v>
                </c:pt>
              </c:numCache>
            </c:numRef>
          </c:val>
          <c:extLst>
            <c:ext xmlns:c16="http://schemas.microsoft.com/office/drawing/2014/chart" uri="{C3380CC4-5D6E-409C-BE32-E72D297353CC}">
              <c16:uniqueId val="{00000000-73E6-4A15-BE45-4088BBD17868}"/>
            </c:ext>
          </c:extLst>
        </c:ser>
        <c:dLbls>
          <c:showLegendKey val="0"/>
          <c:showVal val="0"/>
          <c:showCatName val="0"/>
          <c:showSerName val="0"/>
          <c:showPercent val="0"/>
          <c:showBubbleSize val="0"/>
        </c:dLbls>
        <c:gapWidth val="50"/>
        <c:axId val="422153392"/>
        <c:axId val="422154472"/>
      </c:barChart>
      <c:catAx>
        <c:axId val="422153392"/>
        <c:scaling>
          <c:orientation val="minMax"/>
        </c:scaling>
        <c:delete val="0"/>
        <c:axPos val="b"/>
        <c:numFmt formatCode="#,##0" sourceLinked="0"/>
        <c:majorTickMark val="none"/>
        <c:minorTickMark val="none"/>
        <c:tickLblPos val="nextTo"/>
        <c:spPr>
          <a:noFill/>
          <a:ln w="9525" cap="flat" cmpd="sng" algn="ctr">
            <a:solidFill>
              <a:schemeClr val="accent3">
                <a:lumMod val="50000"/>
              </a:schemeClr>
            </a:solidFill>
            <a:round/>
          </a:ln>
          <a:effectLst/>
        </c:spPr>
        <c:txPr>
          <a:bodyPr rot="-60000000" spcFirstLastPara="1" vertOverflow="ellipsis" vert="horz" wrap="square" anchor="ctr" anchorCtr="1"/>
          <a:lstStyle/>
          <a:p>
            <a:pPr>
              <a:defRPr sz="900" b="0" i="0" u="none" strike="noStrike" kern="1200" baseline="0">
                <a:solidFill>
                  <a:srgbClr val="F4EEFA"/>
                </a:solidFill>
                <a:latin typeface="+mn-lt"/>
                <a:ea typeface="+mn-ea"/>
                <a:cs typeface="+mn-cs"/>
              </a:defRPr>
            </a:pPr>
            <a:endParaRPr lang="en-US"/>
          </a:p>
        </c:txPr>
        <c:crossAx val="422154472"/>
        <c:crosses val="autoZero"/>
        <c:auto val="1"/>
        <c:lblAlgn val="ctr"/>
        <c:lblOffset val="100"/>
        <c:noMultiLvlLbl val="0"/>
      </c:catAx>
      <c:valAx>
        <c:axId val="42215447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F4EEFA"/>
                </a:solidFill>
                <a:latin typeface="+mn-lt"/>
                <a:ea typeface="+mn-ea"/>
                <a:cs typeface="+mn-cs"/>
              </a:defRPr>
            </a:pPr>
            <a:endParaRPr lang="en-US"/>
          </a:p>
        </c:txPr>
        <c:crossAx val="422153392"/>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r>
              <a:rPr lang="en-US" sz="1200" b="1">
                <a:solidFill>
                  <a:srgbClr val="009C31"/>
                </a:solidFill>
              </a:rPr>
              <a:t>Intrinsic Value Distribution (Monte Carlo)</a:t>
            </a:r>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MonteCarlo_Results!$C$17</c:f>
              <c:strCache>
                <c:ptCount val="1"/>
                <c:pt idx="0">
                  <c:v>Frequency</c:v>
                </c:pt>
              </c:strCache>
            </c:strRef>
          </c:tx>
          <c:spPr>
            <a:solidFill>
              <a:srgbClr val="009C31"/>
            </a:solidFill>
            <a:ln>
              <a:noFill/>
            </a:ln>
            <a:effectLst/>
          </c:spPr>
          <c:invertIfNegative val="0"/>
          <c:cat>
            <c:numRef>
              <c:f>MonteCarlo_Results!$B$18:$B$35</c:f>
              <c:numCache>
                <c:formatCode>General</c:formatCode>
                <c:ptCount val="18"/>
                <c:pt idx="0">
                  <c:v>0</c:v>
                </c:pt>
                <c:pt idx="1">
                  <c:v>150</c:v>
                </c:pt>
                <c:pt idx="2">
                  <c:v>300</c:v>
                </c:pt>
                <c:pt idx="3">
                  <c:v>450</c:v>
                </c:pt>
                <c:pt idx="4">
                  <c:v>600</c:v>
                </c:pt>
                <c:pt idx="5">
                  <c:v>750</c:v>
                </c:pt>
                <c:pt idx="6">
                  <c:v>900</c:v>
                </c:pt>
                <c:pt idx="7">
                  <c:v>1050</c:v>
                </c:pt>
                <c:pt idx="8">
                  <c:v>1200</c:v>
                </c:pt>
                <c:pt idx="9">
                  <c:v>1350</c:v>
                </c:pt>
                <c:pt idx="10">
                  <c:v>1500</c:v>
                </c:pt>
                <c:pt idx="11">
                  <c:v>1650</c:v>
                </c:pt>
                <c:pt idx="12">
                  <c:v>1800</c:v>
                </c:pt>
                <c:pt idx="13">
                  <c:v>1950</c:v>
                </c:pt>
                <c:pt idx="14">
                  <c:v>2100</c:v>
                </c:pt>
                <c:pt idx="15">
                  <c:v>2250</c:v>
                </c:pt>
                <c:pt idx="16">
                  <c:v>2400</c:v>
                </c:pt>
                <c:pt idx="17">
                  <c:v>2550</c:v>
                </c:pt>
              </c:numCache>
            </c:numRef>
          </c:cat>
          <c:val>
            <c:numRef>
              <c:f>MonteCarlo_Results!$C$18:$C$35</c:f>
              <c:numCache>
                <c:formatCode>General</c:formatCode>
                <c:ptCount val="18"/>
                <c:pt idx="0">
                  <c:v>117</c:v>
                </c:pt>
                <c:pt idx="1">
                  <c:v>627</c:v>
                </c:pt>
                <c:pt idx="2">
                  <c:v>438</c:v>
                </c:pt>
                <c:pt idx="3">
                  <c:v>179</c:v>
                </c:pt>
                <c:pt idx="4">
                  <c:v>69</c:v>
                </c:pt>
                <c:pt idx="5">
                  <c:v>39</c:v>
                </c:pt>
                <c:pt idx="6">
                  <c:v>15</c:v>
                </c:pt>
                <c:pt idx="7">
                  <c:v>6</c:v>
                </c:pt>
                <c:pt idx="8">
                  <c:v>3</c:v>
                </c:pt>
                <c:pt idx="9">
                  <c:v>1</c:v>
                </c:pt>
                <c:pt idx="10">
                  <c:v>1</c:v>
                </c:pt>
                <c:pt idx="11">
                  <c:v>1</c:v>
                </c:pt>
                <c:pt idx="12">
                  <c:v>1</c:v>
                </c:pt>
                <c:pt idx="13">
                  <c:v>0</c:v>
                </c:pt>
                <c:pt idx="14">
                  <c:v>0</c:v>
                </c:pt>
                <c:pt idx="15">
                  <c:v>0</c:v>
                </c:pt>
                <c:pt idx="16">
                  <c:v>1</c:v>
                </c:pt>
                <c:pt idx="17">
                  <c:v>1</c:v>
                </c:pt>
              </c:numCache>
            </c:numRef>
          </c:val>
          <c:extLst>
            <c:ext xmlns:c16="http://schemas.microsoft.com/office/drawing/2014/chart" uri="{C3380CC4-5D6E-409C-BE32-E72D297353CC}">
              <c16:uniqueId val="{00000000-31F3-4C5B-8D2C-27D0AF319D9F}"/>
            </c:ext>
          </c:extLst>
        </c:ser>
        <c:dLbls>
          <c:showLegendKey val="0"/>
          <c:showVal val="0"/>
          <c:showCatName val="0"/>
          <c:showSerName val="0"/>
          <c:showPercent val="0"/>
          <c:showBubbleSize val="0"/>
        </c:dLbls>
        <c:gapWidth val="50"/>
        <c:axId val="422153392"/>
        <c:axId val="422154472"/>
      </c:barChart>
      <c:catAx>
        <c:axId val="422153392"/>
        <c:scaling>
          <c:orientation val="minMax"/>
        </c:scaling>
        <c:delete val="0"/>
        <c:axPos val="b"/>
        <c:numFmt formatCode="#,##0" sourceLinked="0"/>
        <c:majorTickMark val="none"/>
        <c:minorTickMark val="none"/>
        <c:tickLblPos val="nextTo"/>
        <c:spPr>
          <a:noFill/>
          <a:ln w="9525" cap="flat" cmpd="sng" algn="ctr">
            <a:solidFill>
              <a:schemeClr val="accent3">
                <a:lumMod val="50000"/>
              </a:schemeClr>
            </a:solidFill>
            <a:round/>
          </a:ln>
          <a:effectLst/>
        </c:spPr>
        <c:txPr>
          <a:bodyPr rot="-60000000" spcFirstLastPara="1" vertOverflow="ellipsis" vert="horz" wrap="square" anchor="ctr" anchorCtr="1"/>
          <a:lstStyle/>
          <a:p>
            <a:pPr>
              <a:defRPr sz="900" b="0" i="0" u="none" strike="noStrike" kern="1200" baseline="0">
                <a:solidFill>
                  <a:srgbClr val="F4EEFA"/>
                </a:solidFill>
                <a:latin typeface="+mn-lt"/>
                <a:ea typeface="+mn-ea"/>
                <a:cs typeface="+mn-cs"/>
              </a:defRPr>
            </a:pPr>
            <a:endParaRPr lang="en-US"/>
          </a:p>
        </c:txPr>
        <c:crossAx val="422154472"/>
        <c:crosses val="autoZero"/>
        <c:auto val="1"/>
        <c:lblAlgn val="ctr"/>
        <c:lblOffset val="100"/>
        <c:noMultiLvlLbl val="0"/>
      </c:catAx>
      <c:valAx>
        <c:axId val="42215447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F4EEFA"/>
                </a:solidFill>
                <a:latin typeface="+mn-lt"/>
                <a:ea typeface="+mn-ea"/>
                <a:cs typeface="+mn-cs"/>
              </a:defRPr>
            </a:pPr>
            <a:endParaRPr lang="en-US"/>
          </a:p>
        </c:txPr>
        <c:crossAx val="422153392"/>
        <c:crosses val="autoZero"/>
        <c:crossBetween val="between"/>
      </c:valAx>
      <c:spPr>
        <a:noFill/>
        <a:ln>
          <a:noFill/>
        </a:ln>
        <a:effectLst/>
      </c:spPr>
    </c:plotArea>
    <c:plotVisOnly val="1"/>
    <c:dispBlanksAs val="gap"/>
    <c:showDLblsOverMax val="0"/>
  </c:chart>
  <c:spPr>
    <a:solidFill>
      <a:srgbClr val="1F1F1F"/>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barChart>
        <c:barDir val="col"/>
        <c:grouping val="clustered"/>
        <c:varyColors val="0"/>
        <c:ser>
          <c:idx val="0"/>
          <c:order val="0"/>
          <c:tx>
            <c:strRef>
              <c:f>MonteCarlo_Results!$C$17</c:f>
              <c:strCache>
                <c:ptCount val="1"/>
                <c:pt idx="0">
                  <c:v>Frequency</c:v>
                </c:pt>
              </c:strCache>
            </c:strRef>
          </c:tx>
          <c:spPr>
            <a:solidFill>
              <a:srgbClr val="009C31"/>
            </a:solidFill>
            <a:ln>
              <a:noFill/>
            </a:ln>
            <a:effectLst/>
          </c:spPr>
          <c:invertIfNegative val="0"/>
          <c:cat>
            <c:numRef>
              <c:f>MonteCarlo_Results!$B$18:$B$35</c:f>
              <c:numCache>
                <c:formatCode>General</c:formatCode>
                <c:ptCount val="18"/>
                <c:pt idx="0">
                  <c:v>0</c:v>
                </c:pt>
                <c:pt idx="1">
                  <c:v>150</c:v>
                </c:pt>
                <c:pt idx="2">
                  <c:v>300</c:v>
                </c:pt>
                <c:pt idx="3">
                  <c:v>450</c:v>
                </c:pt>
                <c:pt idx="4">
                  <c:v>600</c:v>
                </c:pt>
                <c:pt idx="5">
                  <c:v>750</c:v>
                </c:pt>
                <c:pt idx="6">
                  <c:v>900</c:v>
                </c:pt>
                <c:pt idx="7">
                  <c:v>1050</c:v>
                </c:pt>
                <c:pt idx="8">
                  <c:v>1200</c:v>
                </c:pt>
                <c:pt idx="9">
                  <c:v>1350</c:v>
                </c:pt>
                <c:pt idx="10">
                  <c:v>1500</c:v>
                </c:pt>
                <c:pt idx="11">
                  <c:v>1650</c:v>
                </c:pt>
                <c:pt idx="12">
                  <c:v>1800</c:v>
                </c:pt>
                <c:pt idx="13">
                  <c:v>1950</c:v>
                </c:pt>
                <c:pt idx="14">
                  <c:v>2100</c:v>
                </c:pt>
                <c:pt idx="15">
                  <c:v>2250</c:v>
                </c:pt>
                <c:pt idx="16">
                  <c:v>2400</c:v>
                </c:pt>
                <c:pt idx="17">
                  <c:v>2550</c:v>
                </c:pt>
              </c:numCache>
            </c:numRef>
          </c:cat>
          <c:val>
            <c:numRef>
              <c:f>MonteCarlo_Results!$C$18:$C$35</c:f>
              <c:numCache>
                <c:formatCode>General</c:formatCode>
                <c:ptCount val="18"/>
                <c:pt idx="0">
                  <c:v>117</c:v>
                </c:pt>
                <c:pt idx="1">
                  <c:v>627</c:v>
                </c:pt>
                <c:pt idx="2">
                  <c:v>438</c:v>
                </c:pt>
                <c:pt idx="3">
                  <c:v>179</c:v>
                </c:pt>
                <c:pt idx="4">
                  <c:v>69</c:v>
                </c:pt>
                <c:pt idx="5">
                  <c:v>39</c:v>
                </c:pt>
                <c:pt idx="6">
                  <c:v>15</c:v>
                </c:pt>
                <c:pt idx="7">
                  <c:v>6</c:v>
                </c:pt>
                <c:pt idx="8">
                  <c:v>3</c:v>
                </c:pt>
                <c:pt idx="9">
                  <c:v>1</c:v>
                </c:pt>
                <c:pt idx="10">
                  <c:v>1</c:v>
                </c:pt>
                <c:pt idx="11">
                  <c:v>1</c:v>
                </c:pt>
                <c:pt idx="12">
                  <c:v>1</c:v>
                </c:pt>
                <c:pt idx="13">
                  <c:v>0</c:v>
                </c:pt>
                <c:pt idx="14">
                  <c:v>0</c:v>
                </c:pt>
                <c:pt idx="15">
                  <c:v>0</c:v>
                </c:pt>
                <c:pt idx="16">
                  <c:v>1</c:v>
                </c:pt>
                <c:pt idx="17">
                  <c:v>1</c:v>
                </c:pt>
              </c:numCache>
            </c:numRef>
          </c:val>
          <c:extLst>
            <c:ext xmlns:c16="http://schemas.microsoft.com/office/drawing/2014/chart" uri="{C3380CC4-5D6E-409C-BE32-E72D297353CC}">
              <c16:uniqueId val="{00000000-CD70-4FAD-9CE3-0CED886B28ED}"/>
            </c:ext>
          </c:extLst>
        </c:ser>
        <c:dLbls>
          <c:showLegendKey val="0"/>
          <c:showVal val="0"/>
          <c:showCatName val="0"/>
          <c:showSerName val="0"/>
          <c:showPercent val="0"/>
          <c:showBubbleSize val="0"/>
        </c:dLbls>
        <c:gapWidth val="50"/>
        <c:axId val="422153392"/>
        <c:axId val="422154472"/>
      </c:barChart>
      <c:catAx>
        <c:axId val="422153392"/>
        <c:scaling>
          <c:orientation val="minMax"/>
        </c:scaling>
        <c:delete val="0"/>
        <c:axPos val="b"/>
        <c:numFmt formatCode="#,##0" sourceLinked="0"/>
        <c:majorTickMark val="none"/>
        <c:minorTickMark val="none"/>
        <c:tickLblPos val="nextTo"/>
        <c:spPr>
          <a:noFill/>
          <a:ln w="9525" cap="flat" cmpd="sng" algn="ctr">
            <a:solidFill>
              <a:schemeClr val="accent3">
                <a:lumMod val="50000"/>
              </a:schemeClr>
            </a:solidFill>
            <a:round/>
          </a:ln>
          <a:effectLst/>
        </c:spPr>
        <c:txPr>
          <a:bodyPr rot="-60000000" spcFirstLastPara="1" vertOverflow="ellipsis" vert="horz" wrap="square" anchor="ctr" anchorCtr="1"/>
          <a:lstStyle/>
          <a:p>
            <a:pPr>
              <a:defRPr sz="900" b="0" i="0" u="none" strike="noStrike" kern="1200" baseline="0">
                <a:solidFill>
                  <a:srgbClr val="E5E5E5"/>
                </a:solidFill>
                <a:latin typeface="+mn-lt"/>
                <a:ea typeface="+mn-ea"/>
                <a:cs typeface="+mn-cs"/>
              </a:defRPr>
            </a:pPr>
            <a:endParaRPr lang="en-US"/>
          </a:p>
        </c:txPr>
        <c:crossAx val="422154472"/>
        <c:crosses val="autoZero"/>
        <c:auto val="1"/>
        <c:lblAlgn val="ctr"/>
        <c:lblOffset val="100"/>
        <c:noMultiLvlLbl val="0"/>
      </c:catAx>
      <c:valAx>
        <c:axId val="42215447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E5E5E5"/>
                </a:solidFill>
                <a:latin typeface="+mn-lt"/>
                <a:ea typeface="+mn-ea"/>
                <a:cs typeface="+mn-cs"/>
              </a:defRPr>
            </a:pPr>
            <a:endParaRPr lang="en-US"/>
          </a:p>
        </c:txPr>
        <c:crossAx val="422153392"/>
        <c:crosses val="autoZero"/>
        <c:crossBetween val="between"/>
      </c:valAx>
      <c:spPr>
        <a:noFill/>
        <a:ln>
          <a:noFill/>
        </a:ln>
        <a:effectLst/>
      </c:spPr>
    </c:plotArea>
    <c:plotVisOnly val="1"/>
    <c:dispBlanksAs val="gap"/>
    <c:showDLblsOverMax val="0"/>
  </c:chart>
  <c:spPr>
    <a:solidFill>
      <a:srgbClr val="1F1F1F"/>
    </a:solidFill>
    <a:ln w="19050" cap="flat" cmpd="sng" algn="ctr">
      <a:solidFill>
        <a:srgbClr val="009C31"/>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12</xdr:col>
      <xdr:colOff>550333</xdr:colOff>
      <xdr:row>0</xdr:row>
      <xdr:rowOff>42333</xdr:rowOff>
    </xdr:from>
    <xdr:to>
      <xdr:col>12</xdr:col>
      <xdr:colOff>550333</xdr:colOff>
      <xdr:row>1</xdr:row>
      <xdr:rowOff>50800</xdr:rowOff>
    </xdr:to>
    <xdr:cxnSp macro="">
      <xdr:nvCxnSpPr>
        <xdr:cNvPr id="3" name="Straight Connector 2">
          <a:extLst>
            <a:ext uri="{FF2B5EF4-FFF2-40B4-BE49-F238E27FC236}">
              <a16:creationId xmlns:a16="http://schemas.microsoft.com/office/drawing/2014/main" id="{F152F0E7-8317-8ECD-B233-1C69A37A5AE8}"/>
            </a:ext>
          </a:extLst>
        </xdr:cNvPr>
        <xdr:cNvCxnSpPr/>
      </xdr:nvCxnSpPr>
      <xdr:spPr>
        <a:xfrm flipV="1">
          <a:off x="7865533" y="42333"/>
          <a:ext cx="0" cy="431800"/>
        </a:xfrm>
        <a:prstGeom prst="line">
          <a:avLst/>
        </a:prstGeom>
        <a:ln w="19050">
          <a:solidFill>
            <a:srgbClr val="009C3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114300</xdr:colOff>
      <xdr:row>3</xdr:row>
      <xdr:rowOff>0</xdr:rowOff>
    </xdr:from>
    <xdr:to>
      <xdr:col>6</xdr:col>
      <xdr:colOff>15240</xdr:colOff>
      <xdr:row>4</xdr:row>
      <xdr:rowOff>0</xdr:rowOff>
    </xdr:to>
    <xdr:sp macro="[0]!RunMonteCarlo" textlink="">
      <xdr:nvSpPr>
        <xdr:cNvPr id="2" name="Rectangle: Rounded Corners 1">
          <a:extLst>
            <a:ext uri="{FF2B5EF4-FFF2-40B4-BE49-F238E27FC236}">
              <a16:creationId xmlns:a16="http://schemas.microsoft.com/office/drawing/2014/main" id="{8D4F17F3-C4FA-F000-66CC-5368F9954348}"/>
            </a:ext>
          </a:extLst>
        </xdr:cNvPr>
        <xdr:cNvSpPr/>
      </xdr:nvSpPr>
      <xdr:spPr>
        <a:xfrm>
          <a:off x="3840480" y="548640"/>
          <a:ext cx="1325880" cy="182880"/>
        </a:xfrm>
        <a:prstGeom prst="roundRect">
          <a:avLst/>
        </a:prstGeom>
        <a:solidFill>
          <a:srgbClr val="008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solidFill>
                <a:srgbClr val="E5E5E5"/>
              </a:solidFill>
            </a:rPr>
            <a:t>Run MC Engine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586154</xdr:colOff>
      <xdr:row>17</xdr:row>
      <xdr:rowOff>19539</xdr:rowOff>
    </xdr:from>
    <xdr:to>
      <xdr:col>15</xdr:col>
      <xdr:colOff>114300</xdr:colOff>
      <xdr:row>35</xdr:row>
      <xdr:rowOff>15240</xdr:rowOff>
    </xdr:to>
    <xdr:graphicFrame macro="">
      <xdr:nvGraphicFramePr>
        <xdr:cNvPr id="3" name="Chart 2">
          <a:extLst>
            <a:ext uri="{FF2B5EF4-FFF2-40B4-BE49-F238E27FC236}">
              <a16:creationId xmlns:a16="http://schemas.microsoft.com/office/drawing/2014/main" id="{2202D6F0-C069-9A59-D895-AA33BE6C94B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160866</xdr:colOff>
      <xdr:row>16</xdr:row>
      <xdr:rowOff>42335</xdr:rowOff>
    </xdr:from>
    <xdr:to>
      <xdr:col>13</xdr:col>
      <xdr:colOff>431799</xdr:colOff>
      <xdr:row>35</xdr:row>
      <xdr:rowOff>8467</xdr:rowOff>
    </xdr:to>
    <xdr:graphicFrame macro="">
      <xdr:nvGraphicFramePr>
        <xdr:cNvPr id="3" name="Chart 2">
          <a:extLst>
            <a:ext uri="{FF2B5EF4-FFF2-40B4-BE49-F238E27FC236}">
              <a16:creationId xmlns:a16="http://schemas.microsoft.com/office/drawing/2014/main" id="{63D9F53D-2D29-46D4-ABFC-A95D271FFD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761999</xdr:colOff>
      <xdr:row>12</xdr:row>
      <xdr:rowOff>161924</xdr:rowOff>
    </xdr:from>
    <xdr:to>
      <xdr:col>5</xdr:col>
      <xdr:colOff>771524</xdr:colOff>
      <xdr:row>14</xdr:row>
      <xdr:rowOff>19050</xdr:rowOff>
    </xdr:to>
    <xdr:sp macro="[0]!Run_MC_Surface_Percentile" textlink="">
      <xdr:nvSpPr>
        <xdr:cNvPr id="2" name="Rectangle: Rounded Corners 1">
          <a:extLst>
            <a:ext uri="{FF2B5EF4-FFF2-40B4-BE49-F238E27FC236}">
              <a16:creationId xmlns:a16="http://schemas.microsoft.com/office/drawing/2014/main" id="{776A36D2-3C00-909A-5B2B-5013D10243BB}"/>
            </a:ext>
          </a:extLst>
        </xdr:cNvPr>
        <xdr:cNvSpPr/>
      </xdr:nvSpPr>
      <xdr:spPr>
        <a:xfrm>
          <a:off x="3067049" y="2152649"/>
          <a:ext cx="1571625" cy="238126"/>
        </a:xfrm>
        <a:prstGeom prst="roundRect">
          <a:avLst/>
        </a:prstGeom>
        <a:solidFill>
          <a:srgbClr val="008000"/>
        </a:solidFill>
        <a:ln/>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IN" sz="1200" b="1"/>
            <a:t>Run MC</a:t>
          </a:r>
          <a:r>
            <a:rPr lang="en-IN" sz="1200" b="1" baseline="0"/>
            <a:t> Surface</a:t>
          </a:r>
          <a:endParaRPr lang="en-IN" sz="1200" b="1"/>
        </a:p>
      </xdr:txBody>
    </xdr:sp>
    <xdr:clientData/>
  </xdr:twoCellAnchor>
  <xdr:twoCellAnchor>
    <xdr:from>
      <xdr:col>0</xdr:col>
      <xdr:colOff>81281</xdr:colOff>
      <xdr:row>26</xdr:row>
      <xdr:rowOff>0</xdr:rowOff>
    </xdr:from>
    <xdr:to>
      <xdr:col>11</xdr:col>
      <xdr:colOff>345440</xdr:colOff>
      <xdr:row>40</xdr:row>
      <xdr:rowOff>32657</xdr:rowOff>
    </xdr:to>
    <xdr:graphicFrame macro="">
      <xdr:nvGraphicFramePr>
        <xdr:cNvPr id="4" name="Chart 3">
          <a:extLst>
            <a:ext uri="{FF2B5EF4-FFF2-40B4-BE49-F238E27FC236}">
              <a16:creationId xmlns:a16="http://schemas.microsoft.com/office/drawing/2014/main" id="{0DA2229C-5DC5-42AA-A0B6-5E897F0339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568824</xdr:colOff>
      <xdr:row>0</xdr:row>
      <xdr:rowOff>0</xdr:rowOff>
    </xdr:from>
    <xdr:to>
      <xdr:col>15</xdr:col>
      <xdr:colOff>170891</xdr:colOff>
      <xdr:row>3</xdr:row>
      <xdr:rowOff>0</xdr:rowOff>
    </xdr:to>
    <xdr:pic>
      <xdr:nvPicPr>
        <xdr:cNvPr id="5" name="Picture 4">
          <a:extLst>
            <a:ext uri="{FF2B5EF4-FFF2-40B4-BE49-F238E27FC236}">
              <a16:creationId xmlns:a16="http://schemas.microsoft.com/office/drawing/2014/main" id="{D15211F1-F80B-33C0-8BE2-C63E6D756B1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846299" y="0"/>
          <a:ext cx="1326092" cy="542925"/>
        </a:xfrm>
        <a:prstGeom prst="rect">
          <a:avLst/>
        </a:prstGeom>
      </xdr:spPr>
    </xdr:pic>
    <xdr:clientData/>
  </xdr:twoCellAnchor>
</xdr:wsDr>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5">
  <rv s="0">
    <v>0</v>
    <v>5</v>
  </rv>
  <rv s="0">
    <v>1</v>
    <v>5</v>
  </rv>
  <rv s="1">
    <v>https://www.bing.com/financeapi/forcetrigger?t=ahj8rw&amp;q=XNSE%3aNTPC&amp;form=skydnc</v>
    <v>Learn more on Bing</v>
  </rv>
  <rv s="2">
    <v>en-IN</v>
    <v>ahj8rw</v>
    <v>268435456</v>
    <v>1</v>
    <v>Powered by Refinitiv</v>
    <v>0</v>
    <v>NTPC LIMITED (XNSE:NTPC)</v>
    <v>2</v>
    <v>3</v>
    <v>Finance</v>
    <v>4</v>
    <v>371.45</v>
    <v>292.8</v>
    <v>1.1355</v>
    <v>1.4</v>
    <v>4.3200000000000001E-3</v>
    <v>INR</v>
    <v>NTPC Limited is an India-based power generating company. The Company is involved in the generation and sale of bulk power to State Power Utilities. Its segments include Generation of energy and Others. Its generation of energy segment is engaged in generation and sale of bulk power to state power utilities. Its other segment is focused on providing consultancy, project management and supervision, energy trading, oil and gas exploration, and coal mining. The Company operates power stations across various Indian states, either independently or through its joint ventures (JVs) and subsidiaries. Its subsidiaries include NTPC Vidyut Vyapar Nigam Limited, NTPC Electric Supply Company Limited, Bhartiya Rail Bijlee Company Limited, Patratu Vidyut Utpadan Nigam Limited, NTPC Mining Limited, North Eastern Electric Power Corporation Limited, THDC India Limited, NTPC EDMC Waste Solutions Private Limited, NTPC Green Energy Limited, and Ratnagiri Gas and Power Private Limited.</v>
    <v>16646</v>
    <v>National Stock Exchange of India</v>
    <v>XNSE</v>
    <v>XNSE</v>
    <v>NTPC Bhawan, SCOPE Complex, Institutional Area, Lodhi Road, NEW DELHI, DELHI, 110003 IN</v>
    <v>325.8</v>
    <v>Electrical Utilities &amp; IPPs</v>
    <v>Stock</v>
    <v>46020.492893518516</v>
    <v>2</v>
    <v>323.05</v>
    <v>3142690000000</v>
    <v>NTPC LIMITED</v>
    <v>NTPC LIMITED</v>
    <v>324.10000000000002</v>
    <v>13.23</v>
    <v>324.10000000000002</v>
    <v>325.5</v>
    <v>9696666000</v>
    <v>NTPC</v>
    <v>NTPC LIMITED (XNSE:NTPC)</v>
    <v>14043845</v>
    <v>6595570</v>
    <v>1975</v>
  </rv>
  <rv s="3">
    <v>3</v>
  </rv>
</rvData>
</file>

<file path=xl/richData/rdrichvaluestructure.xml><?xml version="1.0" encoding="utf-8"?>
<rvStructures xmlns="http://schemas.microsoft.com/office/spreadsheetml/2017/richdata" count="4">
  <s t="_localImage">
    <k n="_rvRel:LocalImageIdentifier" t="i"/>
    <k n="CalcOrigin" t="i"/>
  </s>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
    <k n="%cvi" t="r"/>
  </s>
</rvStructures>
</file>

<file path=xl/richData/rdsupportingpropertybag.xml><?xml version="1.0" encoding="utf-8"?>
<supportingPropertyBags xmlns="http://schemas.microsoft.com/office/spreadsheetml/2017/richdata2">
  <spbArrays count="1">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spbArrays>
  <spbData count="5">
    <spb s="0">
      <v>0</v>
      <v>Name</v>
      <v>LearnMoreOnLink</v>
    </spb>
    <spb s="1">
      <v>0</v>
      <v>0</v>
      <v>0</v>
    </spb>
    <spb s="2">
      <v>1</v>
      <v>1</v>
      <v>1</v>
      <v>1</v>
    </spb>
    <spb s="3">
      <v>1</v>
      <v>2</v>
      <v>2</v>
      <v>1</v>
      <v>3</v>
      <v>1</v>
      <v>1</v>
      <v>1</v>
      <v>4</v>
      <v>4</v>
      <v>5</v>
      <v>6</v>
      <v>1</v>
      <v>1</v>
      <v>1</v>
      <v>4</v>
      <v>7</v>
      <v>8</v>
      <v>9</v>
      <v>4</v>
    </spb>
    <spb s="4">
      <v>Delayed 5 minutes</v>
      <v>from previous close</v>
      <v>from previous close</v>
      <v>GMT</v>
    </spb>
  </spbData>
</supportingPropertyBags>
</file>

<file path=xl/richData/rdsupportingpropertybagstructure.xml><?xml version="1.0" encoding="utf-8"?>
<spbStructures xmlns="http://schemas.microsoft.com/office/spreadsheetml/2017/richdata2" count="5">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Last trade ti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2" formatCode="0.00"/>
    </x:dxf>
    <x:dxf>
      <x:numFmt numFmtId="0" formatCode="General"/>
    </x:dxf>
    <x:dxf>
      <x:numFmt numFmtId="27" formatCode="yyyy/mm/dd\ hh:mm"/>
    </x:dxf>
    <x:dxf>
      <x:numFmt numFmtId="14" formatCode="0.00%"/>
    </x:dxf>
    <x:dxf>
      <x:numFmt numFmtId="3" formatCode="#,##0"/>
    </x:dxf>
    <x:dxf>
      <x:numFmt numFmtId="4" formatCode="#,##0.00"/>
    </x:dxf>
    <x:dxf>
      <x:numFmt numFmtId="1" formatCode="0"/>
    </x:dxf>
  </dxfs>
  <richProperties>
    <rPr n="NumberFormat" t="s"/>
    <rPr n="IsTitleField" t="b"/>
  </richProperties>
  <richStyles>
    <rSty dxfid="1">
      <rpv i="0" xml:space="preserve">_ [$₹-en-IN] * #,##0.00_ ;_ [$₹-en-IN] * -#,##0.00_ ;_ [$₹-en-IN] * "-"??_ ;_ @_ </rpv>
    </rSty>
    <rSty dxfid="5">
      <rpv i="0">#,##0.00</rpv>
    </rSty>
    <rSty>
      <rpv i="1">1</rpv>
    </rSty>
    <rSty dxfid="4">
      <rpv i="0">#,##0</rpv>
    </rSty>
    <rSty dxfid="3"/>
    <rSty dxfid="1">
      <rpv i="0" xml:space="preserve">_ [$₹-en-IN] * #,##0_ ;_ [$₹-en-IN] * -#,##0_ ;_ [$₹-en-IN] * "-"_ ;_ @_ </rpv>
    </rSty>
    <rSty dxfid="2"/>
    <rSty dxfid="6">
      <rpv i="0">0</rpv>
    </rSty>
    <rSty dxfid="0">
      <rpv i="0">0.00</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9C31"/>
  </sheetPr>
  <dimension ref="A1:P25"/>
  <sheetViews>
    <sheetView showGridLines="0" zoomScale="90" zoomScaleNormal="90" workbookViewId="0">
      <selection activeCell="M6" sqref="M6"/>
    </sheetView>
  </sheetViews>
  <sheetFormatPr defaultRowHeight="14.4" x14ac:dyDescent="0.3"/>
  <cols>
    <col min="1" max="11" width="8.88671875" style="2"/>
    <col min="12" max="15" width="8.88671875" style="2" customWidth="1"/>
    <col min="16" max="16384" width="8.88671875" style="2"/>
  </cols>
  <sheetData>
    <row r="1" spans="1:16" ht="33.6" customHeight="1" x14ac:dyDescent="0.3">
      <c r="A1" s="1"/>
      <c r="B1" s="1"/>
      <c r="C1" s="1"/>
      <c r="D1" s="1"/>
      <c r="E1" s="1"/>
      <c r="F1" s="1"/>
      <c r="G1" s="1"/>
      <c r="H1" s="1"/>
      <c r="I1" s="1"/>
      <c r="J1" s="1"/>
      <c r="K1" s="1"/>
      <c r="L1" s="144" t="e" vm="1">
        <v>#VALUE!</v>
      </c>
      <c r="M1" s="144"/>
      <c r="N1" s="144" t="e" vm="2">
        <v>#VALUE!</v>
      </c>
      <c r="O1" s="144"/>
      <c r="P1" s="1"/>
    </row>
    <row r="2" spans="1:16" ht="19.95" customHeight="1" x14ac:dyDescent="0.3">
      <c r="A2" s="1"/>
      <c r="B2" s="1"/>
      <c r="C2" s="1"/>
      <c r="D2" s="1"/>
      <c r="E2" s="1"/>
      <c r="F2" s="1"/>
      <c r="G2" s="1"/>
      <c r="H2" s="1"/>
      <c r="I2" s="1"/>
      <c r="J2" s="1"/>
      <c r="K2" s="1"/>
      <c r="L2" s="1"/>
      <c r="M2" s="1"/>
      <c r="N2" s="1"/>
      <c r="O2" s="1"/>
      <c r="P2" s="1"/>
    </row>
    <row r="3" spans="1:16" ht="19.95" customHeight="1" x14ac:dyDescent="0.3">
      <c r="A3" s="1"/>
      <c r="B3" s="145" t="s">
        <v>0</v>
      </c>
      <c r="C3" s="145"/>
      <c r="D3" s="145"/>
      <c r="E3" s="145"/>
      <c r="F3" s="145"/>
      <c r="G3" s="145"/>
      <c r="H3" s="145"/>
      <c r="I3" s="145"/>
      <c r="J3" s="145"/>
      <c r="K3" s="1"/>
      <c r="L3" s="1"/>
      <c r="M3" s="1"/>
      <c r="N3" s="1"/>
      <c r="O3" s="1"/>
      <c r="P3" s="1"/>
    </row>
    <row r="4" spans="1:16" ht="19.95" customHeight="1" x14ac:dyDescent="0.3">
      <c r="A4" s="1"/>
      <c r="B4" s="146" t="s">
        <v>1</v>
      </c>
      <c r="C4" s="146"/>
      <c r="D4" s="146"/>
      <c r="E4" s="146"/>
      <c r="F4" s="1"/>
      <c r="G4" s="1"/>
      <c r="H4" s="1"/>
      <c r="I4" s="1"/>
      <c r="J4" s="1"/>
      <c r="K4" s="1"/>
      <c r="L4" s="1"/>
      <c r="M4" s="1"/>
      <c r="N4" s="1"/>
      <c r="O4" s="1"/>
      <c r="P4" s="1"/>
    </row>
    <row r="5" spans="1:16" ht="19.95" customHeight="1" x14ac:dyDescent="0.3">
      <c r="A5" s="1"/>
      <c r="B5" s="1"/>
      <c r="C5" s="1"/>
      <c r="D5" s="1"/>
      <c r="E5" s="1"/>
      <c r="F5" s="1"/>
      <c r="G5" s="1"/>
      <c r="H5" s="1"/>
      <c r="I5" s="1"/>
      <c r="J5" s="1"/>
      <c r="K5" s="1"/>
      <c r="L5" s="1"/>
      <c r="M5" s="1"/>
      <c r="N5" s="1"/>
      <c r="O5" s="1"/>
      <c r="P5" s="1"/>
    </row>
    <row r="6" spans="1:16" ht="19.95" customHeight="1" x14ac:dyDescent="0.3">
      <c r="A6" s="1"/>
      <c r="B6" s="1"/>
      <c r="C6" s="1"/>
      <c r="D6" s="1"/>
      <c r="E6" s="1"/>
      <c r="F6" s="1"/>
      <c r="G6" s="1"/>
      <c r="H6" s="1"/>
      <c r="I6" s="1"/>
      <c r="J6" s="1"/>
      <c r="K6" s="1"/>
      <c r="L6" s="1"/>
      <c r="M6" s="1"/>
      <c r="N6" s="1"/>
      <c r="O6" s="1"/>
      <c r="P6" s="1"/>
    </row>
    <row r="7" spans="1:16" ht="19.95" customHeight="1" x14ac:dyDescent="0.3">
      <c r="A7" s="1"/>
      <c r="B7" s="147" t="s">
        <v>2</v>
      </c>
      <c r="C7" s="148"/>
      <c r="D7" s="148"/>
      <c r="E7" s="148"/>
      <c r="F7" s="148"/>
      <c r="G7" s="148"/>
      <c r="H7" s="148"/>
      <c r="I7" s="148"/>
      <c r="J7" s="148"/>
      <c r="K7" s="1"/>
      <c r="L7" s="1"/>
      <c r="M7" s="1"/>
      <c r="N7" s="1"/>
      <c r="O7" s="1"/>
      <c r="P7" s="1"/>
    </row>
    <row r="8" spans="1:16" ht="19.95" customHeight="1" x14ac:dyDescent="0.3">
      <c r="A8" s="1"/>
      <c r="B8" s="148"/>
      <c r="C8" s="148"/>
      <c r="D8" s="148"/>
      <c r="E8" s="148"/>
      <c r="F8" s="148"/>
      <c r="G8" s="148"/>
      <c r="H8" s="148"/>
      <c r="I8" s="148"/>
      <c r="J8" s="148"/>
      <c r="K8" s="1"/>
      <c r="L8" s="1"/>
      <c r="M8" s="1"/>
      <c r="N8" s="1"/>
      <c r="O8" s="1"/>
      <c r="P8" s="1"/>
    </row>
    <row r="9" spans="1:16" ht="19.95" customHeight="1" x14ac:dyDescent="0.3">
      <c r="A9" s="1"/>
      <c r="B9" s="1"/>
      <c r="C9" s="1"/>
      <c r="D9" s="1"/>
      <c r="E9" s="1"/>
      <c r="F9" s="1"/>
      <c r="G9" s="1"/>
      <c r="H9" s="1"/>
      <c r="I9" s="1"/>
      <c r="J9" s="1"/>
      <c r="K9" s="1"/>
      <c r="L9" s="1"/>
      <c r="M9" s="1"/>
      <c r="N9" s="1"/>
      <c r="O9" s="1"/>
      <c r="P9" s="1"/>
    </row>
    <row r="10" spans="1:16" ht="1.8" customHeight="1" x14ac:dyDescent="0.3">
      <c r="A10" s="1"/>
      <c r="B10" s="3"/>
      <c r="C10" s="3"/>
      <c r="D10" s="3"/>
      <c r="E10" s="3"/>
      <c r="F10" s="3"/>
      <c r="G10" s="3"/>
      <c r="H10" s="3"/>
      <c r="I10" s="3"/>
      <c r="J10" s="3"/>
      <c r="K10" s="3"/>
      <c r="L10" s="3"/>
      <c r="M10" s="3"/>
      <c r="N10" s="3"/>
      <c r="O10" s="3"/>
      <c r="P10" s="1"/>
    </row>
    <row r="11" spans="1:16" ht="19.95" customHeight="1" x14ac:dyDescent="0.3">
      <c r="A11" s="1"/>
      <c r="B11" s="1"/>
      <c r="C11" s="1"/>
      <c r="D11" s="1"/>
      <c r="E11" s="1"/>
      <c r="F11" s="1"/>
      <c r="G11" s="1"/>
      <c r="H11" s="1"/>
      <c r="I11" s="1"/>
      <c r="J11" s="1"/>
      <c r="K11" s="1"/>
      <c r="L11" s="1"/>
      <c r="M11" s="1"/>
      <c r="N11" s="1"/>
      <c r="O11" s="1"/>
      <c r="P11" s="1"/>
    </row>
    <row r="12" spans="1:16" ht="19.95" customHeight="1" x14ac:dyDescent="0.3">
      <c r="A12" s="1"/>
      <c r="B12" s="149" t="s">
        <v>3</v>
      </c>
      <c r="C12" s="150"/>
      <c r="D12" s="150"/>
      <c r="E12" s="150"/>
      <c r="F12" s="150"/>
      <c r="G12" s="150"/>
      <c r="H12" s="150"/>
      <c r="I12" s="150"/>
      <c r="J12" s="150"/>
      <c r="K12" s="150"/>
      <c r="L12" s="150"/>
      <c r="M12" s="150"/>
      <c r="N12" s="150"/>
      <c r="O12" s="151"/>
      <c r="P12" s="1"/>
    </row>
    <row r="13" spans="1:16" ht="19.95" customHeight="1" x14ac:dyDescent="0.3">
      <c r="A13" s="1"/>
      <c r="B13" s="152"/>
      <c r="C13" s="153"/>
      <c r="D13" s="153"/>
      <c r="E13" s="153"/>
      <c r="F13" s="153"/>
      <c r="G13" s="153"/>
      <c r="H13" s="153"/>
      <c r="I13" s="153"/>
      <c r="J13" s="153"/>
      <c r="K13" s="153"/>
      <c r="L13" s="153"/>
      <c r="M13" s="153"/>
      <c r="N13" s="153"/>
      <c r="O13" s="154"/>
      <c r="P13" s="1"/>
    </row>
    <row r="14" spans="1:16" ht="19.95" customHeight="1" x14ac:dyDescent="0.3">
      <c r="A14" s="1"/>
      <c r="B14" s="152"/>
      <c r="C14" s="153"/>
      <c r="D14" s="153"/>
      <c r="E14" s="153"/>
      <c r="F14" s="153"/>
      <c r="G14" s="153"/>
      <c r="H14" s="153"/>
      <c r="I14" s="153"/>
      <c r="J14" s="153"/>
      <c r="K14" s="153"/>
      <c r="L14" s="153"/>
      <c r="M14" s="153"/>
      <c r="N14" s="153"/>
      <c r="O14" s="154"/>
      <c r="P14" s="1"/>
    </row>
    <row r="15" spans="1:16" ht="19.95" customHeight="1" x14ac:dyDescent="0.3">
      <c r="A15" s="1"/>
      <c r="B15" s="152"/>
      <c r="C15" s="153"/>
      <c r="D15" s="153"/>
      <c r="E15" s="153"/>
      <c r="F15" s="153"/>
      <c r="G15" s="153"/>
      <c r="H15" s="153"/>
      <c r="I15" s="153"/>
      <c r="J15" s="153"/>
      <c r="K15" s="153"/>
      <c r="L15" s="153"/>
      <c r="M15" s="153"/>
      <c r="N15" s="153"/>
      <c r="O15" s="154"/>
      <c r="P15" s="1"/>
    </row>
    <row r="16" spans="1:16" ht="19.95" customHeight="1" x14ac:dyDescent="0.3">
      <c r="A16" s="1"/>
      <c r="B16" s="152"/>
      <c r="C16" s="153"/>
      <c r="D16" s="153"/>
      <c r="E16" s="153"/>
      <c r="F16" s="153"/>
      <c r="G16" s="153"/>
      <c r="H16" s="153"/>
      <c r="I16" s="153"/>
      <c r="J16" s="153"/>
      <c r="K16" s="153"/>
      <c r="L16" s="153"/>
      <c r="M16" s="153"/>
      <c r="N16" s="153"/>
      <c r="O16" s="154"/>
      <c r="P16" s="1"/>
    </row>
    <row r="17" spans="1:16" ht="19.95" customHeight="1" x14ac:dyDescent="0.3">
      <c r="A17" s="1"/>
      <c r="B17" s="152"/>
      <c r="C17" s="153"/>
      <c r="D17" s="153"/>
      <c r="E17" s="153"/>
      <c r="F17" s="153"/>
      <c r="G17" s="153"/>
      <c r="H17" s="153"/>
      <c r="I17" s="153"/>
      <c r="J17" s="153"/>
      <c r="K17" s="153"/>
      <c r="L17" s="153"/>
      <c r="M17" s="153"/>
      <c r="N17" s="153"/>
      <c r="O17" s="154"/>
      <c r="P17" s="1"/>
    </row>
    <row r="18" spans="1:16" ht="19.95" customHeight="1" x14ac:dyDescent="0.3">
      <c r="A18" s="1"/>
      <c r="B18" s="155"/>
      <c r="C18" s="156"/>
      <c r="D18" s="156"/>
      <c r="E18" s="156"/>
      <c r="F18" s="156"/>
      <c r="G18" s="156"/>
      <c r="H18" s="156"/>
      <c r="I18" s="156"/>
      <c r="J18" s="156"/>
      <c r="K18" s="156"/>
      <c r="L18" s="156"/>
      <c r="M18" s="156"/>
      <c r="N18" s="156"/>
      <c r="O18" s="157"/>
      <c r="P18" s="1"/>
    </row>
    <row r="19" spans="1:16" ht="19.95" customHeight="1" x14ac:dyDescent="0.3">
      <c r="A19" s="1"/>
      <c r="B19" s="1"/>
      <c r="C19" s="1"/>
      <c r="D19" s="1"/>
      <c r="E19" s="1"/>
      <c r="F19" s="1"/>
      <c r="G19" s="1"/>
      <c r="H19" s="1"/>
      <c r="I19" s="1"/>
      <c r="J19" s="1"/>
      <c r="K19" s="1"/>
      <c r="L19" s="1"/>
      <c r="M19" s="1"/>
      <c r="N19" s="1"/>
      <c r="O19" s="1"/>
      <c r="P19" s="1"/>
    </row>
    <row r="20" spans="1:16" ht="19.95" customHeight="1" x14ac:dyDescent="0.3">
      <c r="A20" s="1"/>
      <c r="B20" s="1"/>
      <c r="C20" s="1"/>
      <c r="D20" s="1"/>
      <c r="E20" s="1"/>
      <c r="F20" s="1"/>
      <c r="G20" s="1"/>
      <c r="H20" s="1"/>
      <c r="I20" s="1"/>
      <c r="J20" s="1"/>
      <c r="K20" s="1"/>
      <c r="L20" s="1"/>
      <c r="M20" s="1"/>
      <c r="N20" s="1"/>
      <c r="O20" s="1"/>
      <c r="P20" s="1"/>
    </row>
    <row r="21" spans="1:16" ht="19.95" customHeight="1" x14ac:dyDescent="0.3">
      <c r="A21" s="1"/>
      <c r="B21" s="158" t="s">
        <v>4</v>
      </c>
      <c r="C21" s="158"/>
      <c r="D21" s="158"/>
      <c r="E21" s="158"/>
      <c r="F21" s="158"/>
      <c r="G21" s="158"/>
      <c r="H21" s="158"/>
      <c r="I21" s="158"/>
      <c r="J21" s="158"/>
      <c r="K21" s="158"/>
      <c r="L21" s="158"/>
      <c r="M21" s="158"/>
      <c r="N21" s="158"/>
      <c r="O21" s="158"/>
      <c r="P21" s="1"/>
    </row>
    <row r="22" spans="1:16" ht="19.95" customHeight="1" x14ac:dyDescent="0.3">
      <c r="A22" s="1"/>
      <c r="B22" s="158"/>
      <c r="C22" s="158"/>
      <c r="D22" s="158"/>
      <c r="E22" s="158"/>
      <c r="F22" s="158"/>
      <c r="G22" s="158"/>
      <c r="H22" s="158"/>
      <c r="I22" s="158"/>
      <c r="J22" s="158"/>
      <c r="K22" s="158"/>
      <c r="L22" s="158"/>
      <c r="M22" s="158"/>
      <c r="N22" s="158"/>
      <c r="O22" s="158"/>
      <c r="P22" s="1"/>
    </row>
    <row r="23" spans="1:16" ht="19.95" customHeight="1" x14ac:dyDescent="0.3">
      <c r="A23" s="1"/>
      <c r="B23" s="1"/>
      <c r="C23" s="1"/>
      <c r="D23" s="1"/>
      <c r="E23" s="1"/>
      <c r="F23" s="1"/>
      <c r="G23" s="1"/>
      <c r="H23" s="1"/>
      <c r="I23" s="1"/>
      <c r="J23" s="1"/>
      <c r="K23" s="1"/>
      <c r="L23" s="1"/>
      <c r="M23" s="1"/>
      <c r="N23" s="1"/>
      <c r="O23" s="1"/>
      <c r="P23" s="1"/>
    </row>
    <row r="24" spans="1:16" ht="19.95" customHeight="1" x14ac:dyDescent="0.3">
      <c r="A24" s="1"/>
      <c r="B24" s="1"/>
      <c r="C24" s="1"/>
      <c r="D24" s="1"/>
      <c r="E24" s="1"/>
      <c r="F24" s="1"/>
      <c r="G24" s="1"/>
      <c r="H24" s="1"/>
      <c r="I24" s="1"/>
      <c r="J24" s="1"/>
      <c r="K24" s="1"/>
      <c r="L24" s="1"/>
      <c r="M24" s="1"/>
      <c r="N24" s="1"/>
      <c r="O24" s="1"/>
      <c r="P24" s="1"/>
    </row>
    <row r="25" spans="1:16" ht="19.95" customHeight="1" x14ac:dyDescent="0.3">
      <c r="A25" s="1"/>
      <c r="B25" s="1"/>
      <c r="C25" s="1"/>
      <c r="D25" s="1"/>
      <c r="E25" s="1"/>
      <c r="F25" s="1"/>
      <c r="G25" s="1"/>
      <c r="H25" s="1"/>
      <c r="I25" s="1"/>
      <c r="J25" s="1"/>
      <c r="K25" s="1"/>
      <c r="L25" s="1"/>
      <c r="M25" s="1"/>
      <c r="N25" s="1"/>
      <c r="O25" s="1"/>
      <c r="P25" s="1"/>
    </row>
  </sheetData>
  <mergeCells count="7">
    <mergeCell ref="B12:O18"/>
    <mergeCell ref="B21:O22"/>
    <mergeCell ref="L1:M1"/>
    <mergeCell ref="N1:O1"/>
    <mergeCell ref="B3:J3"/>
    <mergeCell ref="B4:E4"/>
    <mergeCell ref="B7:J8"/>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FD5F35-AC4E-470B-86FC-286E0FA964D3}">
  <sheetPr codeName="Sheet2">
    <tabColor rgb="FF009C31"/>
  </sheetPr>
  <dimension ref="A1:P36"/>
  <sheetViews>
    <sheetView showGridLines="0" workbookViewId="0">
      <pane ySplit="1" topLeftCell="A4" activePane="bottomLeft" state="frozen"/>
      <selection pane="bottomLeft" activeCell="B15" sqref="B15"/>
    </sheetView>
  </sheetViews>
  <sheetFormatPr defaultRowHeight="14.4" x14ac:dyDescent="0.3"/>
  <cols>
    <col min="1" max="1" width="26.109375" style="2" bestFit="1" customWidth="1"/>
    <col min="2" max="2" width="26" style="2" bestFit="1" customWidth="1"/>
    <col min="3" max="16384" width="8.88671875" style="2"/>
  </cols>
  <sheetData>
    <row r="1" spans="1:16" ht="18" x14ac:dyDescent="0.3">
      <c r="A1" s="159" t="s">
        <v>5</v>
      </c>
      <c r="B1" s="159"/>
      <c r="C1" s="159"/>
      <c r="D1" s="159"/>
      <c r="E1" s="159"/>
      <c r="F1" s="159"/>
      <c r="G1" s="159"/>
      <c r="H1" s="159"/>
      <c r="I1" s="159"/>
      <c r="J1" s="159"/>
      <c r="K1" s="159"/>
      <c r="L1" s="159"/>
      <c r="M1" s="159"/>
      <c r="N1" s="159"/>
      <c r="O1" s="159"/>
      <c r="P1" s="1"/>
    </row>
    <row r="2" spans="1:16" x14ac:dyDescent="0.3">
      <c r="A2" s="1"/>
      <c r="B2" s="1"/>
      <c r="C2" s="1"/>
      <c r="D2" s="1"/>
      <c r="E2" s="1"/>
      <c r="F2" s="1"/>
      <c r="G2" s="1"/>
      <c r="H2" s="1"/>
      <c r="I2" s="1"/>
      <c r="J2" s="1"/>
      <c r="K2" s="1"/>
      <c r="L2" s="1"/>
      <c r="M2" s="1"/>
      <c r="N2" s="1"/>
      <c r="O2" s="1"/>
      <c r="P2" s="1"/>
    </row>
    <row r="3" spans="1:16" x14ac:dyDescent="0.3">
      <c r="A3" s="1"/>
      <c r="B3" s="1"/>
      <c r="C3" s="1"/>
      <c r="D3" s="1"/>
      <c r="E3" s="1"/>
      <c r="F3" s="1"/>
      <c r="G3" s="1"/>
      <c r="H3" s="1"/>
      <c r="I3" s="1"/>
      <c r="J3" s="1"/>
      <c r="K3" s="1"/>
      <c r="L3" s="1"/>
      <c r="M3" s="1"/>
      <c r="N3" s="1"/>
      <c r="O3" s="1"/>
      <c r="P3" s="1"/>
    </row>
    <row r="4" spans="1:16" x14ac:dyDescent="0.3">
      <c r="A4" s="160" t="s">
        <v>6</v>
      </c>
      <c r="B4" s="160"/>
      <c r="C4" s="160"/>
      <c r="D4" s="160"/>
      <c r="E4" s="160"/>
      <c r="F4" s="160"/>
      <c r="G4" s="160"/>
      <c r="H4" s="160"/>
      <c r="I4" s="160"/>
      <c r="J4" s="160"/>
      <c r="K4" s="160"/>
      <c r="L4" s="160"/>
      <c r="M4" s="160"/>
      <c r="N4" s="160"/>
      <c r="O4" s="160"/>
      <c r="P4" s="1"/>
    </row>
    <row r="5" spans="1:16" x14ac:dyDescent="0.3">
      <c r="A5" s="1"/>
      <c r="B5" s="1"/>
      <c r="C5" s="1"/>
      <c r="D5" s="1"/>
      <c r="E5" s="1"/>
      <c r="F5" s="1"/>
      <c r="G5" s="1"/>
      <c r="H5" s="1"/>
      <c r="I5" s="1"/>
      <c r="J5" s="1"/>
      <c r="K5" s="1"/>
      <c r="L5" s="1"/>
      <c r="M5" s="1"/>
      <c r="N5" s="1"/>
      <c r="O5" s="1"/>
      <c r="P5" s="1"/>
    </row>
    <row r="6" spans="1:16" x14ac:dyDescent="0.3">
      <c r="A6" s="9" t="s">
        <v>7</v>
      </c>
      <c r="B6" s="20" t="e" vm="3">
        <v>#VALUE!</v>
      </c>
      <c r="C6" s="5"/>
      <c r="D6" s="5"/>
      <c r="E6" s="5"/>
      <c r="F6" s="5"/>
      <c r="G6" s="5"/>
      <c r="H6" s="5"/>
      <c r="I6" s="5"/>
      <c r="J6" s="5"/>
      <c r="K6" s="5"/>
      <c r="L6" s="5"/>
      <c r="M6" s="5"/>
      <c r="N6" s="5"/>
      <c r="O6" s="5"/>
      <c r="P6" s="5"/>
    </row>
    <row r="7" spans="1:16" x14ac:dyDescent="0.3">
      <c r="A7" s="13" t="s">
        <v>8</v>
      </c>
      <c r="B7" s="21" t="str" cm="1">
        <f t="array" aca="1" ref="B7" ca="1">_FV(B6,"Industry")</f>
        <v>Electrical Utilities &amp; IPPs</v>
      </c>
      <c r="C7" s="5"/>
      <c r="D7" s="5"/>
      <c r="E7" s="5"/>
      <c r="F7" s="5"/>
      <c r="G7" s="5"/>
      <c r="H7" s="5"/>
      <c r="I7" s="5"/>
      <c r="J7" s="5"/>
      <c r="K7" s="5"/>
      <c r="L7" s="5"/>
      <c r="M7" s="5"/>
      <c r="N7" s="5"/>
      <c r="O7" s="5"/>
      <c r="P7" s="5"/>
    </row>
    <row r="8" spans="1:16" x14ac:dyDescent="0.3">
      <c r="A8" s="13" t="s">
        <v>9</v>
      </c>
      <c r="B8" s="21" t="s">
        <v>12</v>
      </c>
      <c r="C8" s="5"/>
      <c r="D8" s="5"/>
      <c r="E8" s="5"/>
      <c r="F8" s="5"/>
      <c r="G8" s="5"/>
      <c r="H8" s="5"/>
      <c r="I8" s="5"/>
      <c r="J8" s="5"/>
      <c r="K8" s="5"/>
      <c r="L8" s="5"/>
      <c r="M8" s="5"/>
      <c r="N8" s="5"/>
      <c r="O8" s="5"/>
      <c r="P8" s="5"/>
    </row>
    <row r="9" spans="1:16" x14ac:dyDescent="0.3">
      <c r="A9" s="13" t="s">
        <v>10</v>
      </c>
      <c r="B9" s="21" t="s">
        <v>13</v>
      </c>
      <c r="C9" s="5"/>
      <c r="D9" s="5"/>
      <c r="E9" s="5"/>
      <c r="F9" s="5"/>
      <c r="G9" s="5"/>
      <c r="H9" s="5"/>
      <c r="I9" s="5"/>
      <c r="J9" s="5"/>
      <c r="K9" s="5"/>
      <c r="L9" s="5"/>
      <c r="M9" s="5"/>
      <c r="N9" s="5"/>
      <c r="O9" s="5"/>
      <c r="P9" s="5"/>
    </row>
    <row r="10" spans="1:16" x14ac:dyDescent="0.3">
      <c r="A10" s="13" t="s">
        <v>37</v>
      </c>
      <c r="B10" s="25">
        <v>5</v>
      </c>
      <c r="C10" s="5"/>
      <c r="D10" s="5"/>
      <c r="E10" s="5"/>
      <c r="F10" s="5"/>
      <c r="G10" s="5"/>
      <c r="H10" s="5"/>
      <c r="I10" s="5"/>
      <c r="J10" s="5"/>
      <c r="K10" s="5"/>
      <c r="L10" s="5"/>
      <c r="M10" s="5"/>
      <c r="N10" s="5"/>
      <c r="O10" s="5"/>
      <c r="P10" s="5"/>
    </row>
    <row r="11" spans="1:16" x14ac:dyDescent="0.3">
      <c r="A11" s="17" t="s">
        <v>11</v>
      </c>
      <c r="B11" s="22">
        <v>0.05</v>
      </c>
      <c r="C11" s="5"/>
      <c r="D11" s="5"/>
      <c r="E11" s="5"/>
      <c r="F11" s="5"/>
      <c r="G11" s="5"/>
      <c r="H11" s="5"/>
      <c r="I11" s="5"/>
      <c r="J11" s="5"/>
      <c r="K11" s="5"/>
      <c r="L11" s="5"/>
      <c r="M11" s="5"/>
      <c r="N11" s="5"/>
      <c r="O11" s="5"/>
      <c r="P11" s="5"/>
    </row>
    <row r="12" spans="1:16" x14ac:dyDescent="0.3">
      <c r="A12" s="5"/>
      <c r="B12" s="5"/>
      <c r="C12" s="5"/>
      <c r="D12" s="5"/>
      <c r="E12" s="5"/>
      <c r="F12" s="5"/>
      <c r="G12" s="5"/>
      <c r="H12" s="5"/>
      <c r="I12" s="5"/>
      <c r="J12" s="5"/>
      <c r="K12" s="5"/>
      <c r="L12" s="5"/>
      <c r="M12" s="5"/>
      <c r="N12" s="5"/>
      <c r="O12" s="5"/>
      <c r="P12" s="5"/>
    </row>
    <row r="13" spans="1:16" x14ac:dyDescent="0.3">
      <c r="A13" s="160" t="s">
        <v>14</v>
      </c>
      <c r="B13" s="160"/>
      <c r="C13" s="160"/>
      <c r="D13" s="160"/>
      <c r="E13" s="160"/>
      <c r="F13" s="160"/>
      <c r="G13" s="160"/>
      <c r="H13" s="160"/>
      <c r="I13" s="160"/>
      <c r="J13" s="160"/>
      <c r="K13" s="160"/>
      <c r="L13" s="160"/>
      <c r="M13" s="160"/>
      <c r="N13" s="160"/>
      <c r="O13" s="160"/>
      <c r="P13" s="5"/>
    </row>
    <row r="14" spans="1:16" x14ac:dyDescent="0.3">
      <c r="A14" s="5"/>
      <c r="B14" s="5"/>
      <c r="C14" s="5"/>
      <c r="D14" s="5"/>
      <c r="E14" s="5"/>
      <c r="F14" s="5"/>
      <c r="G14" s="5"/>
      <c r="H14" s="5"/>
      <c r="I14" s="5"/>
      <c r="J14" s="5"/>
      <c r="K14" s="5"/>
      <c r="L14" s="5"/>
      <c r="M14" s="5"/>
      <c r="N14" s="5"/>
      <c r="O14" s="5"/>
      <c r="P14" s="5"/>
    </row>
    <row r="15" spans="1:16" x14ac:dyDescent="0.3">
      <c r="A15" s="9" t="s">
        <v>15</v>
      </c>
      <c r="B15" s="24">
        <v>1500</v>
      </c>
      <c r="C15" s="5"/>
      <c r="D15" s="5"/>
      <c r="E15" s="5"/>
      <c r="F15" s="5"/>
      <c r="G15" s="5"/>
      <c r="H15" s="5"/>
      <c r="I15" s="5"/>
      <c r="J15" s="5"/>
      <c r="K15" s="5"/>
      <c r="L15" s="5"/>
      <c r="M15" s="5"/>
      <c r="N15" s="5"/>
      <c r="O15" s="5"/>
      <c r="P15" s="5"/>
    </row>
    <row r="16" spans="1:16" x14ac:dyDescent="0.3">
      <c r="A16" s="13" t="s">
        <v>16</v>
      </c>
      <c r="B16" s="25">
        <v>123</v>
      </c>
      <c r="C16" s="5"/>
      <c r="D16" s="5"/>
      <c r="E16" s="5"/>
      <c r="F16" s="5"/>
      <c r="G16" s="5"/>
      <c r="H16" s="5"/>
      <c r="I16" s="5"/>
      <c r="J16" s="5"/>
      <c r="K16" s="5"/>
      <c r="L16" s="5"/>
      <c r="M16" s="5"/>
      <c r="N16" s="5"/>
      <c r="O16" s="5"/>
      <c r="P16" s="5"/>
    </row>
    <row r="17" spans="1:16" x14ac:dyDescent="0.3">
      <c r="A17" s="13" t="s">
        <v>17</v>
      </c>
      <c r="B17" s="25" t="s">
        <v>18</v>
      </c>
      <c r="C17" s="5"/>
      <c r="D17" s="5"/>
      <c r="E17" s="5"/>
      <c r="F17" s="5"/>
      <c r="G17" s="5"/>
      <c r="H17" s="5"/>
      <c r="I17" s="5"/>
      <c r="J17" s="5"/>
      <c r="K17" s="5"/>
      <c r="L17" s="5"/>
      <c r="M17" s="5"/>
      <c r="N17" s="5"/>
      <c r="O17" s="5"/>
      <c r="P17" s="5"/>
    </row>
    <row r="18" spans="1:16" x14ac:dyDescent="0.3">
      <c r="A18" s="13" t="s">
        <v>19</v>
      </c>
      <c r="B18" s="21" t="s">
        <v>20</v>
      </c>
      <c r="C18" s="5"/>
      <c r="D18" s="5"/>
      <c r="E18" s="5"/>
      <c r="F18" s="5"/>
      <c r="G18" s="5"/>
      <c r="H18" s="5"/>
      <c r="I18" s="5"/>
      <c r="J18" s="5"/>
      <c r="K18" s="5"/>
      <c r="L18" s="5"/>
      <c r="M18" s="5"/>
      <c r="N18" s="5"/>
      <c r="O18" s="5"/>
      <c r="P18" s="5"/>
    </row>
    <row r="19" spans="1:16" x14ac:dyDescent="0.3">
      <c r="A19" s="13" t="s">
        <v>21</v>
      </c>
      <c r="B19" s="21"/>
      <c r="C19" s="5"/>
      <c r="D19" s="5"/>
      <c r="E19" s="5"/>
      <c r="F19" s="5"/>
      <c r="G19" s="5"/>
      <c r="H19" s="5"/>
      <c r="I19" s="5"/>
      <c r="J19" s="5"/>
      <c r="K19" s="5"/>
      <c r="L19" s="5"/>
      <c r="M19" s="5"/>
      <c r="N19" s="5"/>
      <c r="O19" s="5"/>
      <c r="P19" s="5"/>
    </row>
    <row r="20" spans="1:16" x14ac:dyDescent="0.3">
      <c r="A20" s="17" t="s">
        <v>169</v>
      </c>
      <c r="B20" s="126" cm="1">
        <f t="array" aca="1" ref="B20" ca="1">_FV(B6,"Price")</f>
        <v>325.5</v>
      </c>
      <c r="C20" s="5"/>
      <c r="D20" s="5"/>
      <c r="E20" s="5"/>
      <c r="F20" s="5"/>
      <c r="G20" s="5"/>
      <c r="H20" s="5"/>
      <c r="I20" s="5"/>
      <c r="J20" s="5"/>
      <c r="K20" s="5"/>
      <c r="L20" s="5"/>
      <c r="M20" s="5"/>
      <c r="N20" s="5"/>
      <c r="O20" s="5"/>
      <c r="P20" s="5"/>
    </row>
    <row r="21" spans="1:16" x14ac:dyDescent="0.3">
      <c r="A21" s="5"/>
      <c r="B21" s="5"/>
      <c r="C21" s="5"/>
      <c r="D21" s="5"/>
      <c r="E21" s="5"/>
      <c r="F21" s="5"/>
      <c r="G21" s="5"/>
      <c r="H21" s="5"/>
      <c r="I21" s="5"/>
      <c r="J21" s="5"/>
      <c r="K21" s="5"/>
      <c r="L21" s="5"/>
      <c r="M21" s="5"/>
      <c r="N21" s="5"/>
      <c r="O21" s="5"/>
      <c r="P21" s="5"/>
    </row>
    <row r="22" spans="1:16" x14ac:dyDescent="0.3">
      <c r="A22" s="160" t="s">
        <v>22</v>
      </c>
      <c r="B22" s="160"/>
      <c r="C22" s="160"/>
      <c r="D22" s="160"/>
      <c r="E22" s="160"/>
      <c r="F22" s="160"/>
      <c r="G22" s="160"/>
      <c r="H22" s="160"/>
      <c r="I22" s="160"/>
      <c r="J22" s="160"/>
      <c r="K22" s="160"/>
      <c r="L22" s="160"/>
      <c r="M22" s="160"/>
      <c r="N22" s="160"/>
      <c r="O22" s="160"/>
      <c r="P22" s="5"/>
    </row>
    <row r="23" spans="1:16" x14ac:dyDescent="0.3">
      <c r="A23" s="5"/>
      <c r="B23" s="5"/>
      <c r="C23" s="5"/>
      <c r="D23" s="5"/>
      <c r="E23" s="5"/>
      <c r="F23" s="5"/>
      <c r="G23" s="5"/>
      <c r="H23" s="5"/>
      <c r="I23" s="5"/>
      <c r="J23" s="5"/>
      <c r="K23" s="5"/>
      <c r="L23" s="5"/>
      <c r="M23" s="5"/>
      <c r="N23" s="5"/>
      <c r="O23" s="5"/>
      <c r="P23" s="5"/>
    </row>
    <row r="24" spans="1:16" x14ac:dyDescent="0.3">
      <c r="A24" s="9" t="s">
        <v>24</v>
      </c>
      <c r="B24" s="34">
        <v>0.05</v>
      </c>
      <c r="C24" s="5"/>
      <c r="D24" s="5"/>
      <c r="E24" s="5"/>
      <c r="F24" s="5"/>
      <c r="G24" s="5"/>
      <c r="H24" s="5"/>
      <c r="I24" s="5"/>
      <c r="J24" s="5"/>
      <c r="K24" s="5"/>
      <c r="L24" s="5"/>
      <c r="M24" s="5"/>
      <c r="N24" s="5"/>
      <c r="O24" s="5"/>
      <c r="P24" s="5"/>
    </row>
    <row r="25" spans="1:16" x14ac:dyDescent="0.3">
      <c r="A25" s="13" t="s">
        <v>25</v>
      </c>
      <c r="B25" s="32">
        <v>0.29049999999999998</v>
      </c>
      <c r="C25" s="5"/>
      <c r="D25" s="5"/>
      <c r="E25" s="5"/>
      <c r="F25" s="5"/>
      <c r="G25" s="5"/>
      <c r="H25" s="5"/>
      <c r="I25" s="5"/>
      <c r="J25" s="5"/>
      <c r="K25" s="5"/>
      <c r="L25" s="5"/>
      <c r="M25" s="5"/>
      <c r="N25" s="5"/>
      <c r="O25" s="5"/>
      <c r="P25" s="5"/>
    </row>
    <row r="26" spans="1:16" x14ac:dyDescent="0.3">
      <c r="A26" s="13" t="s">
        <v>26</v>
      </c>
      <c r="B26" s="32">
        <v>0.45600000000000002</v>
      </c>
      <c r="C26" s="5"/>
      <c r="D26" s="5"/>
      <c r="E26" s="5"/>
      <c r="F26" s="5"/>
      <c r="G26" s="5"/>
      <c r="H26" s="5"/>
      <c r="I26" s="5"/>
      <c r="J26" s="5"/>
      <c r="K26" s="5"/>
      <c r="L26" s="5"/>
      <c r="M26" s="5"/>
      <c r="N26" s="5"/>
      <c r="O26" s="5"/>
      <c r="P26" s="5"/>
    </row>
    <row r="27" spans="1:16" x14ac:dyDescent="0.3">
      <c r="A27" s="17" t="s">
        <v>27</v>
      </c>
      <c r="B27" s="35">
        <f ca="1">WACC_Buildup!C29</f>
        <v>0.10059999999999999</v>
      </c>
      <c r="C27" s="5"/>
      <c r="D27" s="5"/>
      <c r="E27" s="5"/>
      <c r="F27" s="5"/>
      <c r="G27" s="5"/>
      <c r="H27" s="5"/>
      <c r="I27" s="5"/>
      <c r="J27" s="5"/>
      <c r="K27" s="5"/>
      <c r="L27" s="5"/>
      <c r="M27" s="5"/>
      <c r="N27" s="5"/>
      <c r="O27" s="5"/>
      <c r="P27" s="5"/>
    </row>
    <row r="28" spans="1:16" x14ac:dyDescent="0.3">
      <c r="A28" s="5"/>
      <c r="B28" s="5"/>
      <c r="C28" s="5"/>
      <c r="D28" s="5"/>
      <c r="E28" s="5"/>
      <c r="F28" s="5"/>
      <c r="G28" s="5"/>
      <c r="H28" s="5"/>
      <c r="I28" s="5"/>
      <c r="J28" s="5"/>
      <c r="K28" s="5"/>
      <c r="L28" s="5"/>
      <c r="M28" s="5"/>
      <c r="N28" s="5"/>
      <c r="O28" s="5"/>
      <c r="P28" s="5"/>
    </row>
    <row r="29" spans="1:16" x14ac:dyDescent="0.3">
      <c r="A29" s="160" t="s">
        <v>28</v>
      </c>
      <c r="B29" s="160"/>
      <c r="C29" s="160"/>
      <c r="D29" s="160"/>
      <c r="E29" s="160"/>
      <c r="F29" s="160"/>
      <c r="G29" s="160"/>
      <c r="H29" s="160"/>
      <c r="I29" s="160"/>
      <c r="J29" s="160"/>
      <c r="K29" s="160"/>
      <c r="L29" s="160"/>
      <c r="M29" s="160"/>
      <c r="N29" s="160"/>
      <c r="O29" s="160"/>
      <c r="P29" s="5"/>
    </row>
    <row r="30" spans="1:16" x14ac:dyDescent="0.3">
      <c r="A30" s="5"/>
      <c r="B30" s="5"/>
      <c r="C30" s="5"/>
      <c r="D30" s="5"/>
      <c r="E30" s="5"/>
      <c r="F30" s="5"/>
      <c r="G30" s="5"/>
      <c r="H30" s="5"/>
      <c r="I30" s="5"/>
      <c r="J30" s="5"/>
      <c r="K30" s="5"/>
      <c r="L30" s="5"/>
      <c r="M30" s="5"/>
      <c r="N30" s="5"/>
      <c r="O30" s="5"/>
      <c r="P30" s="5"/>
    </row>
    <row r="31" spans="1:16" x14ac:dyDescent="0.3">
      <c r="A31" s="26" t="s">
        <v>29</v>
      </c>
      <c r="B31" s="27" t="s">
        <v>30</v>
      </c>
      <c r="C31" s="5"/>
      <c r="D31" s="5"/>
      <c r="E31" s="5"/>
      <c r="F31" s="5"/>
      <c r="G31" s="5"/>
      <c r="H31" s="5"/>
      <c r="I31" s="5"/>
      <c r="J31" s="5"/>
      <c r="K31" s="5"/>
      <c r="L31" s="5"/>
      <c r="M31" s="5"/>
      <c r="N31" s="5"/>
      <c r="O31" s="5"/>
      <c r="P31" s="5"/>
    </row>
    <row r="32" spans="1:16" x14ac:dyDescent="0.3">
      <c r="A32" s="5"/>
      <c r="B32" s="5"/>
      <c r="C32" s="5"/>
      <c r="D32" s="5"/>
      <c r="E32" s="5"/>
      <c r="F32" s="5"/>
      <c r="G32" s="5"/>
      <c r="H32" s="5"/>
      <c r="I32" s="5"/>
      <c r="J32" s="5"/>
      <c r="K32" s="5"/>
      <c r="L32" s="5"/>
      <c r="M32" s="5"/>
      <c r="N32" s="5"/>
      <c r="O32" s="5"/>
      <c r="P32" s="5"/>
    </row>
    <row r="33" spans="1:16" x14ac:dyDescent="0.3">
      <c r="A33" s="5"/>
      <c r="B33" s="5"/>
      <c r="C33" s="5"/>
      <c r="D33" s="5"/>
      <c r="E33" s="5"/>
      <c r="F33" s="5"/>
      <c r="G33" s="5"/>
      <c r="H33" s="5"/>
      <c r="I33" s="5"/>
      <c r="J33" s="5"/>
      <c r="K33" s="5"/>
      <c r="L33" s="5"/>
      <c r="M33" s="5"/>
      <c r="N33" s="5"/>
      <c r="O33" s="5"/>
      <c r="P33" s="5"/>
    </row>
    <row r="34" spans="1:16" x14ac:dyDescent="0.3">
      <c r="A34" s="5"/>
      <c r="B34" s="5"/>
      <c r="C34" s="5"/>
      <c r="D34" s="5"/>
      <c r="E34" s="5"/>
      <c r="F34" s="5"/>
      <c r="G34" s="5"/>
      <c r="H34" s="5"/>
      <c r="I34" s="5"/>
      <c r="J34" s="5"/>
      <c r="K34" s="5"/>
      <c r="L34" s="5"/>
      <c r="M34" s="5"/>
      <c r="N34" s="5"/>
      <c r="O34" s="5"/>
      <c r="P34" s="5"/>
    </row>
    <row r="35" spans="1:16" x14ac:dyDescent="0.3">
      <c r="A35" s="5"/>
      <c r="B35" s="5"/>
      <c r="C35" s="5"/>
      <c r="D35" s="5"/>
      <c r="E35" s="5"/>
      <c r="F35" s="5"/>
      <c r="G35" s="5"/>
      <c r="H35" s="5"/>
      <c r="I35" s="5"/>
      <c r="J35" s="5"/>
      <c r="K35" s="5"/>
      <c r="L35" s="5"/>
      <c r="M35" s="5"/>
      <c r="N35" s="5"/>
      <c r="O35" s="5"/>
      <c r="P35" s="5"/>
    </row>
    <row r="36" spans="1:16" x14ac:dyDescent="0.3">
      <c r="A36" s="5"/>
      <c r="B36" s="5"/>
      <c r="C36" s="5"/>
      <c r="D36" s="5"/>
      <c r="E36" s="5"/>
      <c r="F36" s="5"/>
      <c r="G36" s="5"/>
      <c r="H36" s="5"/>
      <c r="I36" s="5"/>
      <c r="J36" s="5"/>
      <c r="K36" s="5"/>
      <c r="L36" s="5"/>
      <c r="M36" s="5"/>
      <c r="N36" s="5"/>
      <c r="O36" s="5"/>
      <c r="P36" s="5"/>
    </row>
  </sheetData>
  <mergeCells count="5">
    <mergeCell ref="A1:O1"/>
    <mergeCell ref="A4:O4"/>
    <mergeCell ref="A13:O13"/>
    <mergeCell ref="A22:O22"/>
    <mergeCell ref="A29:O29"/>
  </mergeCells>
  <dataValidations count="3">
    <dataValidation type="list" allowBlank="1" showInputMessage="1" showErrorMessage="1" sqref="B17" xr:uid="{DD9802B6-F405-441C-84EC-467AC15F408F}">
      <formula1>"Normal, Triangular"</formula1>
    </dataValidation>
    <dataValidation type="list" allowBlank="1" showInputMessage="1" showErrorMessage="1" sqref="B18" xr:uid="{0A45E2D8-F852-46F1-8A1B-224F329E9527}">
      <formula1>"Yes, No"</formula1>
    </dataValidation>
    <dataValidation type="list" allowBlank="1" showInputMessage="1" showErrorMessage="1" sqref="B31" xr:uid="{6049BA12-6EA6-4EED-905F-6A518F7B4A1A}">
      <formula1>"Base, Optimistic, Pessimistic, Custom"</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9264E2-B2EB-4E8C-96BC-58F5296C9D71}">
  <sheetPr codeName="Sheet3">
    <tabColor rgb="FF009C31"/>
  </sheetPr>
  <dimension ref="A1:P42"/>
  <sheetViews>
    <sheetView showGridLines="0" topLeftCell="A3" workbookViewId="0">
      <selection activeCell="D23" sqref="D23"/>
    </sheetView>
  </sheetViews>
  <sheetFormatPr defaultRowHeight="14.4" x14ac:dyDescent="0.3"/>
  <cols>
    <col min="1" max="1" width="27" style="28" bestFit="1" customWidth="1"/>
    <col min="2" max="2" width="8.88671875" style="28"/>
    <col min="3" max="3" width="12.33203125" style="41" bestFit="1" customWidth="1"/>
    <col min="4" max="16384" width="8.88671875" style="28"/>
  </cols>
  <sheetData>
    <row r="1" spans="1:16" s="2" customFormat="1" x14ac:dyDescent="0.3">
      <c r="A1" s="159" t="s">
        <v>31</v>
      </c>
      <c r="B1" s="159"/>
      <c r="C1" s="159"/>
      <c r="D1" s="159"/>
      <c r="E1" s="159"/>
      <c r="F1" s="159"/>
      <c r="G1" s="159"/>
      <c r="H1" s="159"/>
      <c r="I1" s="159"/>
      <c r="J1" s="159"/>
      <c r="K1" s="159"/>
      <c r="L1" s="159"/>
      <c r="M1" s="159"/>
      <c r="N1" s="159"/>
      <c r="O1" s="159"/>
      <c r="P1" s="1"/>
    </row>
    <row r="2" spans="1:16" s="2" customFormat="1" x14ac:dyDescent="0.3">
      <c r="A2" s="159"/>
      <c r="B2" s="159"/>
      <c r="C2" s="159"/>
      <c r="D2" s="159"/>
      <c r="E2" s="159"/>
      <c r="F2" s="159"/>
      <c r="G2" s="159"/>
      <c r="H2" s="159"/>
      <c r="I2" s="159"/>
      <c r="J2" s="159"/>
      <c r="K2" s="159"/>
      <c r="L2" s="159"/>
      <c r="M2" s="159"/>
      <c r="N2" s="159"/>
      <c r="O2" s="159"/>
      <c r="P2" s="1"/>
    </row>
    <row r="3" spans="1:16" s="2" customFormat="1" x14ac:dyDescent="0.3">
      <c r="A3" s="1"/>
      <c r="B3" s="1"/>
      <c r="C3" s="40"/>
      <c r="D3" s="1"/>
      <c r="E3" s="1"/>
      <c r="F3" s="1"/>
      <c r="G3" s="1"/>
      <c r="H3" s="1"/>
      <c r="I3" s="1"/>
      <c r="J3" s="1"/>
      <c r="K3" s="1"/>
      <c r="L3" s="1"/>
      <c r="M3" s="1"/>
      <c r="N3" s="1"/>
      <c r="O3" s="1"/>
      <c r="P3" s="1"/>
    </row>
    <row r="4" spans="1:16" s="2" customFormat="1" x14ac:dyDescent="0.3">
      <c r="A4" s="160" t="s">
        <v>32</v>
      </c>
      <c r="B4" s="160"/>
      <c r="C4" s="160"/>
      <c r="D4" s="160"/>
      <c r="E4" s="160"/>
      <c r="F4" s="160"/>
      <c r="G4" s="160"/>
      <c r="H4" s="160"/>
      <c r="I4" s="160"/>
      <c r="J4" s="160"/>
      <c r="K4" s="160"/>
      <c r="L4" s="160"/>
      <c r="M4" s="160"/>
      <c r="N4" s="160"/>
      <c r="O4" s="160"/>
      <c r="P4" s="1"/>
    </row>
    <row r="5" spans="1:16" s="2" customFormat="1" x14ac:dyDescent="0.3">
      <c r="A5" s="1"/>
      <c r="B5" s="1"/>
      <c r="C5" s="40"/>
      <c r="D5" s="1"/>
      <c r="E5" s="1"/>
      <c r="F5" s="1"/>
      <c r="G5" s="1"/>
      <c r="H5" s="1"/>
      <c r="I5" s="1"/>
      <c r="J5" s="1"/>
      <c r="K5" s="1"/>
      <c r="L5" s="1"/>
      <c r="M5" s="1"/>
      <c r="N5" s="1"/>
      <c r="O5" s="1"/>
      <c r="P5" s="1"/>
    </row>
    <row r="6" spans="1:16" x14ac:dyDescent="0.3">
      <c r="A6" s="46" t="s">
        <v>57</v>
      </c>
      <c r="B6" s="10"/>
      <c r="C6" s="49">
        <v>190862</v>
      </c>
      <c r="D6" s="5"/>
      <c r="E6" s="5"/>
      <c r="F6" s="5"/>
      <c r="G6" s="5"/>
      <c r="H6" s="5"/>
      <c r="I6" s="5"/>
      <c r="J6" s="5"/>
      <c r="K6" s="5"/>
      <c r="L6" s="5"/>
      <c r="M6" s="5"/>
      <c r="N6" s="5"/>
      <c r="O6" s="5"/>
      <c r="P6" s="5"/>
    </row>
    <row r="7" spans="1:16" x14ac:dyDescent="0.3">
      <c r="A7" s="47" t="s">
        <v>33</v>
      </c>
      <c r="B7" s="14"/>
      <c r="C7" s="32">
        <v>3.8800000000000001E-2</v>
      </c>
      <c r="D7" s="5"/>
      <c r="E7" s="5"/>
      <c r="F7" s="5"/>
      <c r="G7" s="5"/>
      <c r="H7" s="5"/>
      <c r="I7" s="5"/>
      <c r="J7" s="5"/>
      <c r="K7" s="5"/>
      <c r="L7" s="5"/>
      <c r="M7" s="5"/>
      <c r="N7" s="5"/>
      <c r="O7" s="5"/>
      <c r="P7" s="5"/>
    </row>
    <row r="8" spans="1:16" x14ac:dyDescent="0.3">
      <c r="A8" s="47" t="s">
        <v>34</v>
      </c>
      <c r="B8" s="14"/>
      <c r="C8" s="32">
        <v>2.1700000000000001E-2</v>
      </c>
      <c r="D8" s="5"/>
      <c r="E8" s="5"/>
      <c r="F8" s="5"/>
      <c r="G8" s="5"/>
      <c r="H8" s="5"/>
      <c r="I8" s="5"/>
      <c r="J8" s="5"/>
      <c r="K8" s="5"/>
      <c r="L8" s="5"/>
      <c r="M8" s="5"/>
      <c r="N8" s="5"/>
      <c r="O8" s="5"/>
      <c r="P8" s="5"/>
    </row>
    <row r="9" spans="1:16" x14ac:dyDescent="0.3">
      <c r="A9" s="47" t="s">
        <v>35</v>
      </c>
      <c r="B9" s="14"/>
      <c r="C9" s="32">
        <v>0</v>
      </c>
      <c r="D9" s="5"/>
      <c r="E9" s="5"/>
      <c r="F9" s="5"/>
      <c r="G9" s="5"/>
      <c r="H9" s="5"/>
      <c r="I9" s="5"/>
      <c r="J9" s="5"/>
      <c r="K9" s="5"/>
      <c r="L9" s="5"/>
      <c r="M9" s="5"/>
      <c r="N9" s="5"/>
      <c r="O9" s="5"/>
      <c r="P9" s="5"/>
    </row>
    <row r="10" spans="1:16" x14ac:dyDescent="0.3">
      <c r="A10" s="47" t="s">
        <v>36</v>
      </c>
      <c r="B10" s="14"/>
      <c r="C10" s="31">
        <f ca="1">MonteCarlo_Engine!K6</f>
        <v>5.9168215360362278E-2</v>
      </c>
      <c r="D10" s="5"/>
      <c r="E10" s="5"/>
      <c r="F10" s="5"/>
      <c r="G10" s="5"/>
      <c r="H10" s="5"/>
      <c r="I10" s="5"/>
      <c r="J10" s="5"/>
      <c r="K10" s="5"/>
      <c r="L10" s="5"/>
      <c r="M10" s="5"/>
      <c r="N10" s="5"/>
      <c r="O10" s="5"/>
      <c r="P10" s="5"/>
    </row>
    <row r="11" spans="1:16" x14ac:dyDescent="0.3">
      <c r="A11" s="48" t="s">
        <v>37</v>
      </c>
      <c r="B11" s="29"/>
      <c r="C11" s="33">
        <f>Control_Panel!B10</f>
        <v>5</v>
      </c>
      <c r="D11" s="5"/>
      <c r="E11" s="5"/>
      <c r="F11" s="5"/>
      <c r="G11" s="5"/>
      <c r="H11" s="5"/>
      <c r="I11" s="5"/>
      <c r="J11" s="5"/>
      <c r="K11" s="5"/>
      <c r="L11" s="5"/>
      <c r="M11" s="5"/>
      <c r="N11" s="5"/>
      <c r="O11" s="5"/>
      <c r="P11" s="5"/>
    </row>
    <row r="12" spans="1:16" x14ac:dyDescent="0.3">
      <c r="A12" s="5"/>
      <c r="B12" s="5"/>
      <c r="C12" s="23"/>
      <c r="D12" s="5"/>
      <c r="E12" s="5"/>
      <c r="F12" s="5"/>
      <c r="G12" s="5"/>
      <c r="H12" s="5"/>
      <c r="I12" s="5"/>
      <c r="J12" s="5"/>
      <c r="K12" s="5"/>
      <c r="L12" s="5"/>
      <c r="M12" s="5"/>
      <c r="N12" s="5"/>
      <c r="O12" s="5"/>
      <c r="P12" s="5"/>
    </row>
    <row r="13" spans="1:16" x14ac:dyDescent="0.3">
      <c r="A13" s="160" t="s">
        <v>38</v>
      </c>
      <c r="B13" s="160"/>
      <c r="C13" s="160"/>
      <c r="D13" s="160"/>
      <c r="E13" s="160"/>
      <c r="F13" s="160"/>
      <c r="G13" s="160"/>
      <c r="H13" s="160"/>
      <c r="I13" s="160"/>
      <c r="J13" s="160"/>
      <c r="K13" s="160"/>
      <c r="L13" s="160"/>
      <c r="M13" s="160"/>
      <c r="N13" s="160"/>
      <c r="O13" s="160"/>
      <c r="P13" s="5"/>
    </row>
    <row r="14" spans="1:16" x14ac:dyDescent="0.3">
      <c r="A14" s="5"/>
      <c r="B14" s="5"/>
      <c r="C14" s="23"/>
      <c r="D14" s="5"/>
      <c r="E14" s="5"/>
      <c r="F14" s="5"/>
      <c r="G14" s="5"/>
      <c r="H14" s="5"/>
      <c r="I14" s="5"/>
      <c r="J14" s="5"/>
      <c r="K14" s="5"/>
      <c r="L14" s="5"/>
      <c r="M14" s="5"/>
      <c r="N14" s="5"/>
      <c r="O14" s="5"/>
      <c r="P14" s="5"/>
    </row>
    <row r="15" spans="1:16" x14ac:dyDescent="0.3">
      <c r="A15" s="46" t="s">
        <v>25</v>
      </c>
      <c r="B15" s="10"/>
      <c r="C15" s="34">
        <f ca="1">MonteCarlo_Engine!K7</f>
        <v>0.28083782263181095</v>
      </c>
      <c r="D15" s="5"/>
      <c r="E15" s="5"/>
      <c r="F15" s="5"/>
      <c r="G15" s="5"/>
      <c r="H15" s="5"/>
      <c r="I15" s="5"/>
      <c r="J15" s="5"/>
      <c r="K15" s="5"/>
      <c r="L15" s="5"/>
      <c r="M15" s="5"/>
      <c r="N15" s="5"/>
      <c r="O15" s="5"/>
      <c r="P15" s="5"/>
    </row>
    <row r="16" spans="1:16" x14ac:dyDescent="0.3">
      <c r="A16" s="47" t="s">
        <v>39</v>
      </c>
      <c r="B16" s="14"/>
      <c r="C16" s="32">
        <f>19337.9/C6</f>
        <v>0.10131875386404837</v>
      </c>
      <c r="D16" s="5"/>
      <c r="E16" s="5"/>
      <c r="F16" s="5"/>
      <c r="G16" s="5"/>
      <c r="H16" s="5"/>
      <c r="I16" s="5"/>
      <c r="J16" s="5"/>
      <c r="K16" s="5"/>
      <c r="L16" s="5"/>
      <c r="M16" s="5"/>
      <c r="N16" s="5"/>
      <c r="O16" s="5"/>
      <c r="P16" s="5"/>
    </row>
    <row r="17" spans="1:16" x14ac:dyDescent="0.3">
      <c r="A17" s="47" t="s">
        <v>40</v>
      </c>
      <c r="B17" s="14"/>
      <c r="C17" s="31">
        <f ca="1">C15-C16</f>
        <v>0.17951906876776258</v>
      </c>
      <c r="D17" s="5"/>
      <c r="E17" s="5"/>
      <c r="F17" s="5"/>
      <c r="G17" s="5"/>
      <c r="H17" s="5"/>
      <c r="I17" s="5"/>
      <c r="J17" s="5"/>
      <c r="K17" s="5"/>
      <c r="L17" s="5"/>
      <c r="M17" s="5"/>
      <c r="N17" s="5"/>
      <c r="O17" s="5"/>
      <c r="P17" s="5"/>
    </row>
    <row r="18" spans="1:16" x14ac:dyDescent="0.3">
      <c r="A18" s="47" t="s">
        <v>41</v>
      </c>
      <c r="B18" s="14"/>
      <c r="C18" s="32">
        <v>0.25</v>
      </c>
      <c r="D18" s="5"/>
      <c r="E18" s="5"/>
      <c r="F18" s="5"/>
      <c r="G18" s="5"/>
      <c r="H18" s="5"/>
      <c r="I18" s="5"/>
      <c r="J18" s="5"/>
      <c r="K18" s="5"/>
      <c r="L18" s="5"/>
      <c r="M18" s="5"/>
      <c r="N18" s="5"/>
      <c r="O18" s="5"/>
      <c r="P18" s="5"/>
    </row>
    <row r="19" spans="1:16" x14ac:dyDescent="0.3">
      <c r="A19" s="48" t="s">
        <v>42</v>
      </c>
      <c r="B19" s="29"/>
      <c r="C19" s="42">
        <f ca="1">C17*(1-C18)</f>
        <v>0.13463930157582193</v>
      </c>
      <c r="D19" s="5"/>
      <c r="E19" s="5"/>
      <c r="F19" s="5"/>
      <c r="G19" s="5"/>
      <c r="H19" s="5"/>
      <c r="I19" s="5"/>
      <c r="J19" s="5"/>
      <c r="K19" s="5"/>
      <c r="L19" s="5"/>
      <c r="M19" s="5"/>
      <c r="N19" s="5"/>
      <c r="O19" s="5"/>
      <c r="P19" s="5"/>
    </row>
    <row r="20" spans="1:16" x14ac:dyDescent="0.3">
      <c r="A20" s="5"/>
      <c r="B20" s="5"/>
      <c r="C20" s="23"/>
      <c r="D20" s="5"/>
      <c r="E20" s="5"/>
      <c r="F20" s="5"/>
      <c r="G20" s="5"/>
      <c r="H20" s="5"/>
      <c r="I20" s="5"/>
      <c r="J20" s="5"/>
      <c r="K20" s="5"/>
      <c r="L20" s="5"/>
      <c r="M20" s="5"/>
      <c r="N20" s="5"/>
      <c r="O20" s="5"/>
      <c r="P20" s="5"/>
    </row>
    <row r="21" spans="1:16" x14ac:dyDescent="0.3">
      <c r="A21" s="160" t="s">
        <v>43</v>
      </c>
      <c r="B21" s="160"/>
      <c r="C21" s="160"/>
      <c r="D21" s="160"/>
      <c r="E21" s="160"/>
      <c r="F21" s="160"/>
      <c r="G21" s="160"/>
      <c r="H21" s="160"/>
      <c r="I21" s="160"/>
      <c r="J21" s="160"/>
      <c r="K21" s="160"/>
      <c r="L21" s="160"/>
      <c r="M21" s="160"/>
      <c r="N21" s="160"/>
      <c r="O21" s="160"/>
      <c r="P21" s="5"/>
    </row>
    <row r="22" spans="1:16" x14ac:dyDescent="0.3">
      <c r="A22" s="5"/>
      <c r="B22" s="5"/>
      <c r="C22" s="23"/>
      <c r="D22" s="5"/>
      <c r="E22" s="5"/>
      <c r="F22" s="5"/>
      <c r="G22" s="5"/>
      <c r="H22" s="5"/>
      <c r="I22" s="5"/>
      <c r="J22" s="5"/>
      <c r="K22" s="5"/>
      <c r="L22" s="5"/>
      <c r="M22" s="5"/>
      <c r="N22" s="5"/>
      <c r="O22" s="5"/>
      <c r="P22" s="5"/>
    </row>
    <row r="23" spans="1:16" x14ac:dyDescent="0.3">
      <c r="A23" s="46" t="s">
        <v>44</v>
      </c>
      <c r="B23" s="11"/>
      <c r="C23" s="34">
        <v>0.12</v>
      </c>
      <c r="D23" s="5"/>
      <c r="E23" s="5"/>
      <c r="F23" s="5"/>
      <c r="G23" s="5"/>
      <c r="H23" s="5"/>
      <c r="I23" s="5"/>
      <c r="J23" s="5"/>
      <c r="K23" s="5"/>
      <c r="L23" s="5"/>
      <c r="M23" s="5"/>
      <c r="N23" s="5"/>
      <c r="O23" s="5"/>
      <c r="P23" s="5"/>
    </row>
    <row r="24" spans="1:16" x14ac:dyDescent="0.3">
      <c r="A24" s="47" t="s">
        <v>26</v>
      </c>
      <c r="B24" s="15"/>
      <c r="C24" s="32">
        <f ca="1">MonteCarlo_Engine!K8</f>
        <v>0.50206393140696104</v>
      </c>
      <c r="D24" s="5"/>
      <c r="E24" s="5"/>
      <c r="F24" s="5"/>
      <c r="G24" s="5"/>
      <c r="H24" s="5"/>
      <c r="I24" s="5"/>
      <c r="J24" s="5"/>
      <c r="K24" s="5"/>
      <c r="L24" s="5"/>
      <c r="M24" s="5"/>
      <c r="N24" s="5"/>
      <c r="O24" s="5"/>
      <c r="P24" s="5"/>
    </row>
    <row r="25" spans="1:16" x14ac:dyDescent="0.3">
      <c r="A25" s="47" t="s">
        <v>45</v>
      </c>
      <c r="B25" s="15"/>
      <c r="C25" s="50">
        <f>C6/41283.36</f>
        <v>4.6232186527453187</v>
      </c>
      <c r="D25" s="5"/>
      <c r="E25" s="5"/>
      <c r="F25" s="5"/>
      <c r="G25" s="5"/>
      <c r="H25" s="5"/>
      <c r="I25" s="5"/>
      <c r="J25" s="5"/>
      <c r="K25" s="5"/>
      <c r="L25" s="5"/>
      <c r="M25" s="5"/>
      <c r="N25" s="5"/>
      <c r="O25" s="5"/>
      <c r="P25" s="5"/>
    </row>
    <row r="26" spans="1:16" x14ac:dyDescent="0.3">
      <c r="A26" s="47" t="s">
        <v>46</v>
      </c>
      <c r="B26" s="15"/>
      <c r="C26" s="32">
        <f ca="1">MonteCarlo_Engine!K9</f>
        <v>0.19984056713641812</v>
      </c>
      <c r="D26" s="5"/>
      <c r="E26" s="5"/>
      <c r="F26" s="5"/>
      <c r="G26" s="5"/>
      <c r="H26" s="5"/>
      <c r="I26" s="5"/>
      <c r="J26" s="5"/>
      <c r="K26" s="5"/>
      <c r="L26" s="5"/>
      <c r="M26" s="5"/>
      <c r="N26" s="5"/>
      <c r="O26" s="5"/>
      <c r="P26" s="5"/>
    </row>
    <row r="27" spans="1:16" x14ac:dyDescent="0.3">
      <c r="A27" s="47" t="s">
        <v>56</v>
      </c>
      <c r="B27" s="15"/>
      <c r="C27" s="32">
        <v>8.7870000000000004E-2</v>
      </c>
      <c r="D27" s="5"/>
      <c r="E27" s="5"/>
      <c r="F27" s="5"/>
      <c r="G27" s="5"/>
      <c r="H27" s="5"/>
      <c r="I27" s="5"/>
      <c r="J27" s="5"/>
      <c r="K27" s="5"/>
      <c r="L27" s="5"/>
      <c r="M27" s="5"/>
      <c r="N27" s="5"/>
      <c r="O27" s="5"/>
      <c r="P27" s="5"/>
    </row>
    <row r="28" spans="1:16" x14ac:dyDescent="0.3">
      <c r="A28" s="48" t="s">
        <v>47</v>
      </c>
      <c r="B28" s="18"/>
      <c r="C28" s="33"/>
      <c r="D28" s="5"/>
      <c r="E28" s="5"/>
      <c r="F28" s="5"/>
      <c r="G28" s="5"/>
      <c r="H28" s="5"/>
      <c r="I28" s="5"/>
      <c r="J28" s="5"/>
      <c r="K28" s="5"/>
      <c r="L28" s="5"/>
      <c r="M28" s="5"/>
      <c r="N28" s="5"/>
      <c r="O28" s="5"/>
      <c r="P28" s="5"/>
    </row>
    <row r="29" spans="1:16" x14ac:dyDescent="0.3">
      <c r="A29" s="5"/>
      <c r="B29" s="5"/>
      <c r="C29" s="23"/>
      <c r="D29" s="5"/>
      <c r="E29" s="5"/>
      <c r="F29" s="5"/>
      <c r="G29" s="5"/>
      <c r="H29" s="5"/>
      <c r="I29" s="5"/>
      <c r="J29" s="5"/>
      <c r="K29" s="5"/>
      <c r="L29" s="5"/>
      <c r="M29" s="5"/>
      <c r="N29" s="5"/>
      <c r="O29" s="5"/>
      <c r="P29" s="5"/>
    </row>
    <row r="30" spans="1:16" x14ac:dyDescent="0.3">
      <c r="A30" s="39" t="s">
        <v>48</v>
      </c>
      <c r="B30" s="39"/>
      <c r="C30" s="4"/>
      <c r="D30" s="39"/>
      <c r="E30" s="39"/>
      <c r="F30" s="39"/>
      <c r="G30" s="39"/>
      <c r="H30" s="39"/>
      <c r="I30" s="39"/>
      <c r="J30" s="39"/>
      <c r="K30" s="39"/>
      <c r="L30" s="39"/>
      <c r="M30" s="39"/>
      <c r="N30" s="39"/>
      <c r="O30" s="39"/>
      <c r="P30" s="5"/>
    </row>
    <row r="31" spans="1:16" x14ac:dyDescent="0.3">
      <c r="A31" s="5"/>
      <c r="B31" s="5"/>
      <c r="C31" s="23"/>
      <c r="D31" s="5"/>
      <c r="E31" s="5"/>
      <c r="F31" s="5"/>
      <c r="G31" s="5"/>
      <c r="H31" s="5"/>
      <c r="I31" s="5"/>
      <c r="J31" s="5"/>
      <c r="K31" s="5"/>
      <c r="L31" s="5"/>
      <c r="M31" s="5"/>
      <c r="N31" s="5"/>
      <c r="O31" s="5"/>
      <c r="P31" s="5"/>
    </row>
    <row r="32" spans="1:16" x14ac:dyDescent="0.3">
      <c r="A32" s="46" t="s">
        <v>49</v>
      </c>
      <c r="B32" s="11"/>
      <c r="C32" s="34">
        <v>6.6000000000000003E-2</v>
      </c>
      <c r="D32" s="5"/>
      <c r="E32" s="5"/>
      <c r="F32" s="5"/>
      <c r="G32" s="5"/>
      <c r="H32" s="5"/>
      <c r="I32" s="5"/>
      <c r="J32" s="5"/>
      <c r="K32" s="5"/>
      <c r="L32" s="5"/>
      <c r="M32" s="5"/>
      <c r="N32" s="5"/>
      <c r="O32" s="5"/>
      <c r="P32" s="5"/>
    </row>
    <row r="33" spans="1:16" x14ac:dyDescent="0.3">
      <c r="A33" s="47" t="s">
        <v>50</v>
      </c>
      <c r="B33" s="15"/>
      <c r="C33" s="32">
        <v>7.2599999999999998E-2</v>
      </c>
      <c r="D33" s="5"/>
      <c r="E33" s="5"/>
      <c r="F33" s="5"/>
      <c r="G33" s="5"/>
      <c r="H33" s="5"/>
      <c r="I33" s="5"/>
      <c r="J33" s="5"/>
      <c r="K33" s="5"/>
      <c r="L33" s="5"/>
      <c r="M33" s="5"/>
      <c r="N33" s="5"/>
      <c r="O33" s="5"/>
      <c r="P33" s="5"/>
    </row>
    <row r="34" spans="1:16" x14ac:dyDescent="0.3">
      <c r="A34" s="47" t="s">
        <v>51</v>
      </c>
      <c r="B34" s="15"/>
      <c r="C34" s="43" cm="1">
        <f t="array" aca="1" ref="C34" ca="1">_FV(Control_Panel!B6,"Beta")</f>
        <v>1.1355</v>
      </c>
      <c r="D34" s="5"/>
      <c r="E34" s="5"/>
      <c r="F34" s="5"/>
      <c r="G34" s="5"/>
      <c r="H34" s="5"/>
      <c r="I34" s="5"/>
      <c r="J34" s="5"/>
      <c r="K34" s="5"/>
      <c r="L34" s="5"/>
      <c r="M34" s="5"/>
      <c r="N34" s="5"/>
      <c r="O34" s="5"/>
      <c r="P34" s="5"/>
    </row>
    <row r="35" spans="1:16" x14ac:dyDescent="0.3">
      <c r="A35" s="47" t="s">
        <v>52</v>
      </c>
      <c r="B35" s="15"/>
      <c r="C35" s="31">
        <f ca="1">C32+(C33*C34)</f>
        <v>0.14843729999999999</v>
      </c>
      <c r="D35" s="5"/>
      <c r="E35" s="5"/>
      <c r="F35" s="5"/>
      <c r="G35" s="5"/>
      <c r="H35" s="5"/>
      <c r="I35" s="5"/>
      <c r="J35" s="5"/>
      <c r="K35" s="5"/>
      <c r="L35" s="5"/>
      <c r="M35" s="5"/>
      <c r="N35" s="5"/>
      <c r="O35" s="5"/>
      <c r="P35" s="5"/>
    </row>
    <row r="36" spans="1:16" x14ac:dyDescent="0.3">
      <c r="A36" s="48" t="s">
        <v>27</v>
      </c>
      <c r="B36" s="18"/>
      <c r="C36" s="35">
        <f ca="1">MonteCarlo_Engine!K10</f>
        <v>0.1006261136674322</v>
      </c>
      <c r="D36" s="5"/>
      <c r="E36" s="5"/>
      <c r="F36" s="5"/>
      <c r="G36" s="5"/>
      <c r="H36" s="5"/>
      <c r="I36" s="5"/>
      <c r="J36" s="5"/>
      <c r="K36" s="5"/>
      <c r="L36" s="5"/>
      <c r="M36" s="5"/>
      <c r="N36" s="5"/>
      <c r="O36" s="5"/>
      <c r="P36" s="5"/>
    </row>
    <row r="37" spans="1:16" x14ac:dyDescent="0.3">
      <c r="A37" s="5"/>
      <c r="B37" s="5"/>
      <c r="C37" s="23"/>
      <c r="D37" s="5"/>
      <c r="E37" s="5"/>
      <c r="F37" s="5"/>
      <c r="G37" s="5"/>
      <c r="H37" s="5"/>
      <c r="I37" s="5"/>
      <c r="J37" s="5"/>
      <c r="K37" s="5"/>
      <c r="L37" s="5"/>
      <c r="M37" s="5"/>
      <c r="N37" s="5"/>
      <c r="O37" s="5"/>
      <c r="P37" s="5"/>
    </row>
    <row r="38" spans="1:16" x14ac:dyDescent="0.3">
      <c r="A38" s="39" t="s">
        <v>53</v>
      </c>
      <c r="B38" s="39"/>
      <c r="C38" s="4"/>
      <c r="D38" s="39"/>
      <c r="E38" s="39"/>
      <c r="F38" s="39"/>
      <c r="G38" s="39"/>
      <c r="H38" s="39"/>
      <c r="I38" s="39"/>
      <c r="J38" s="39"/>
      <c r="K38" s="39"/>
      <c r="L38" s="39"/>
      <c r="M38" s="39"/>
      <c r="N38" s="39"/>
      <c r="O38" s="39"/>
      <c r="P38" s="5"/>
    </row>
    <row r="39" spans="1:16" x14ac:dyDescent="0.3">
      <c r="A39" s="5"/>
      <c r="B39" s="5"/>
      <c r="C39" s="23"/>
      <c r="D39" s="5"/>
      <c r="E39" s="5"/>
      <c r="F39" s="5"/>
      <c r="G39" s="5"/>
      <c r="H39" s="5"/>
      <c r="I39" s="5"/>
      <c r="J39" s="5"/>
      <c r="K39" s="5"/>
      <c r="L39" s="5"/>
      <c r="M39" s="5"/>
      <c r="N39" s="5"/>
      <c r="O39" s="5"/>
      <c r="P39" s="5"/>
    </row>
    <row r="40" spans="1:16" x14ac:dyDescent="0.3">
      <c r="A40" s="46" t="s">
        <v>54</v>
      </c>
      <c r="B40" s="11"/>
      <c r="C40" s="45">
        <f ca="1">MonteCarlo_Engine!K11</f>
        <v>4.2764664541154407E-2</v>
      </c>
      <c r="D40" s="5"/>
      <c r="E40" s="5"/>
      <c r="F40" s="5"/>
      <c r="G40" s="5"/>
      <c r="H40" s="5"/>
      <c r="I40" s="5"/>
      <c r="J40" s="5"/>
      <c r="K40" s="5"/>
      <c r="L40" s="5"/>
      <c r="M40" s="5"/>
      <c r="N40" s="5"/>
      <c r="O40" s="5"/>
      <c r="P40" s="5"/>
    </row>
    <row r="41" spans="1:16" x14ac:dyDescent="0.3">
      <c r="A41" s="48" t="s">
        <v>55</v>
      </c>
      <c r="B41" s="18"/>
      <c r="C41" s="22">
        <f ca="1">MonteCarlo_Engine!K12</f>
        <v>0.11856069610842913</v>
      </c>
      <c r="D41" s="5"/>
      <c r="E41" s="5"/>
      <c r="F41" s="5"/>
      <c r="G41" s="5"/>
      <c r="H41" s="5"/>
      <c r="I41" s="5"/>
      <c r="J41" s="5"/>
      <c r="K41" s="5"/>
      <c r="L41" s="5"/>
      <c r="M41" s="5"/>
      <c r="N41" s="5"/>
      <c r="O41" s="5"/>
      <c r="P41" s="5"/>
    </row>
    <row r="42" spans="1:16" x14ac:dyDescent="0.3">
      <c r="A42" s="5"/>
      <c r="B42" s="5"/>
      <c r="C42" s="23"/>
      <c r="D42" s="5"/>
      <c r="E42" s="5"/>
      <c r="F42" s="5"/>
      <c r="G42" s="5"/>
      <c r="H42" s="5"/>
      <c r="I42" s="5"/>
      <c r="J42" s="5"/>
      <c r="K42" s="5"/>
      <c r="L42" s="5"/>
      <c r="M42" s="5"/>
      <c r="N42" s="5"/>
      <c r="O42" s="5"/>
      <c r="P42" s="5"/>
    </row>
  </sheetData>
  <mergeCells count="4">
    <mergeCell ref="A1:O2"/>
    <mergeCell ref="A4:O4"/>
    <mergeCell ref="A13:O13"/>
    <mergeCell ref="A21:O2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5F6CF3-1CFA-4CC7-8A39-5698CE62BFA8}">
  <sheetPr codeName="Sheet4">
    <tabColor rgb="FF009C31"/>
  </sheetPr>
  <dimension ref="A1:P36"/>
  <sheetViews>
    <sheetView showGridLines="0" workbookViewId="0">
      <selection activeCell="G16" sqref="G16"/>
    </sheetView>
  </sheetViews>
  <sheetFormatPr defaultRowHeight="14.4" x14ac:dyDescent="0.3"/>
  <cols>
    <col min="1" max="1" width="23.77734375" style="2" bestFit="1" customWidth="1"/>
    <col min="2" max="2" width="10.109375" style="2" bestFit="1" customWidth="1"/>
    <col min="3" max="3" width="10.77734375" style="2" bestFit="1" customWidth="1"/>
    <col min="4" max="4" width="6" style="2" bestFit="1" customWidth="1"/>
    <col min="5" max="5" width="17.44140625" style="2" bestFit="1" customWidth="1"/>
    <col min="6" max="6" width="12.88671875" style="2" bestFit="1" customWidth="1"/>
    <col min="7" max="16384" width="8.88671875" style="2"/>
  </cols>
  <sheetData>
    <row r="1" spans="1:16" ht="14.4" customHeight="1" x14ac:dyDescent="0.3">
      <c r="A1" s="161" t="s">
        <v>58</v>
      </c>
      <c r="B1" s="161"/>
      <c r="C1" s="161"/>
      <c r="D1" s="161"/>
      <c r="E1" s="161"/>
      <c r="F1" s="161"/>
      <c r="G1" s="161"/>
      <c r="H1" s="161"/>
      <c r="I1" s="161"/>
      <c r="J1" s="161"/>
      <c r="K1" s="161"/>
      <c r="L1" s="161"/>
      <c r="M1" s="161"/>
      <c r="N1" s="161"/>
      <c r="O1" s="161"/>
      <c r="P1" s="161"/>
    </row>
    <row r="2" spans="1:16" ht="14.4" customHeight="1" x14ac:dyDescent="0.3">
      <c r="A2" s="161"/>
      <c r="B2" s="161"/>
      <c r="C2" s="161"/>
      <c r="D2" s="161"/>
      <c r="E2" s="161"/>
      <c r="F2" s="161"/>
      <c r="G2" s="161"/>
      <c r="H2" s="161"/>
      <c r="I2" s="161"/>
      <c r="J2" s="161"/>
      <c r="K2" s="161"/>
      <c r="L2" s="161"/>
      <c r="M2" s="161"/>
      <c r="N2" s="161"/>
      <c r="O2" s="161"/>
      <c r="P2" s="161"/>
    </row>
    <row r="3" spans="1:16" x14ac:dyDescent="0.3">
      <c r="A3" s="1"/>
      <c r="B3" s="1"/>
      <c r="C3" s="1"/>
      <c r="D3" s="1"/>
      <c r="E3" s="1"/>
      <c r="F3" s="1"/>
      <c r="G3" s="1"/>
      <c r="H3" s="1"/>
      <c r="I3" s="1"/>
      <c r="J3" s="1"/>
      <c r="K3" s="1"/>
      <c r="L3" s="1"/>
      <c r="M3" s="1"/>
      <c r="N3" s="1"/>
      <c r="O3" s="1"/>
      <c r="P3" s="1"/>
    </row>
    <row r="4" spans="1:16" x14ac:dyDescent="0.3">
      <c r="A4" s="162" t="s">
        <v>59</v>
      </c>
      <c r="B4" s="163"/>
      <c r="C4" s="163"/>
      <c r="D4" s="163"/>
      <c r="E4" s="163"/>
      <c r="F4" s="163"/>
      <c r="G4" s="163"/>
      <c r="H4" s="163"/>
      <c r="I4" s="163"/>
      <c r="J4" s="163"/>
      <c r="K4" s="163"/>
      <c r="L4" s="163"/>
      <c r="M4" s="163"/>
      <c r="N4" s="163"/>
      <c r="O4" s="164"/>
      <c r="P4" s="1"/>
    </row>
    <row r="5" spans="1:16" x14ac:dyDescent="0.3">
      <c r="A5" s="165"/>
      <c r="B5" s="166"/>
      <c r="C5" s="166"/>
      <c r="D5" s="166"/>
      <c r="E5" s="166"/>
      <c r="F5" s="166"/>
      <c r="G5" s="166"/>
      <c r="H5" s="166"/>
      <c r="I5" s="166"/>
      <c r="J5" s="166"/>
      <c r="K5" s="166"/>
      <c r="L5" s="166"/>
      <c r="M5" s="166"/>
      <c r="N5" s="166"/>
      <c r="O5" s="167"/>
      <c r="P5" s="1"/>
    </row>
    <row r="6" spans="1:16" x14ac:dyDescent="0.3">
      <c r="A6" s="165"/>
      <c r="B6" s="166"/>
      <c r="C6" s="166"/>
      <c r="D6" s="166"/>
      <c r="E6" s="166"/>
      <c r="F6" s="166"/>
      <c r="G6" s="166"/>
      <c r="H6" s="166"/>
      <c r="I6" s="166"/>
      <c r="J6" s="166"/>
      <c r="K6" s="166"/>
      <c r="L6" s="166"/>
      <c r="M6" s="166"/>
      <c r="N6" s="166"/>
      <c r="O6" s="167"/>
      <c r="P6" s="1"/>
    </row>
    <row r="7" spans="1:16" x14ac:dyDescent="0.3">
      <c r="A7" s="168"/>
      <c r="B7" s="169"/>
      <c r="C7" s="169"/>
      <c r="D7" s="169"/>
      <c r="E7" s="169"/>
      <c r="F7" s="169"/>
      <c r="G7" s="169"/>
      <c r="H7" s="169"/>
      <c r="I7" s="169"/>
      <c r="J7" s="169"/>
      <c r="K7" s="169"/>
      <c r="L7" s="169"/>
      <c r="M7" s="169"/>
      <c r="N7" s="169"/>
      <c r="O7" s="170"/>
      <c r="P7" s="1"/>
    </row>
    <row r="8" spans="1:16" x14ac:dyDescent="0.3">
      <c r="A8" s="1"/>
      <c r="B8" s="1"/>
      <c r="C8" s="1"/>
      <c r="D8" s="1"/>
      <c r="E8" s="1"/>
      <c r="F8" s="1"/>
      <c r="G8" s="1"/>
      <c r="H8" s="1"/>
      <c r="I8" s="1"/>
      <c r="J8" s="1"/>
      <c r="K8" s="1"/>
      <c r="L8" s="1"/>
      <c r="M8" s="1"/>
      <c r="N8" s="1"/>
      <c r="O8" s="1"/>
      <c r="P8" s="1"/>
    </row>
    <row r="9" spans="1:16" x14ac:dyDescent="0.3">
      <c r="A9" s="80" t="s">
        <v>60</v>
      </c>
      <c r="B9" s="81" t="s">
        <v>61</v>
      </c>
      <c r="C9" s="81" t="s">
        <v>62</v>
      </c>
      <c r="D9" s="81" t="s">
        <v>63</v>
      </c>
      <c r="E9" s="81" t="s">
        <v>64</v>
      </c>
      <c r="F9" s="82" t="s">
        <v>65</v>
      </c>
      <c r="G9" s="1"/>
      <c r="H9" s="1"/>
      <c r="I9" s="1"/>
      <c r="J9" s="1"/>
      <c r="K9" s="1"/>
      <c r="L9" s="1"/>
      <c r="M9" s="1"/>
      <c r="N9" s="1"/>
      <c r="O9" s="1"/>
      <c r="P9" s="1"/>
    </row>
    <row r="10" spans="1:16" x14ac:dyDescent="0.3">
      <c r="A10" s="9" t="s">
        <v>24</v>
      </c>
      <c r="B10" s="63">
        <f ca="1">Base_Assumptions!C10</f>
        <v>5.9168215360362278E-2</v>
      </c>
      <c r="C10" s="53" t="s">
        <v>69</v>
      </c>
      <c r="D10" s="108">
        <v>0.04</v>
      </c>
      <c r="E10" s="54">
        <v>6.0499999999999998E-2</v>
      </c>
      <c r="F10" s="111">
        <v>0.09</v>
      </c>
      <c r="G10" s="1"/>
      <c r="H10" s="1"/>
      <c r="I10" s="1"/>
      <c r="J10" s="1"/>
      <c r="K10" s="1"/>
      <c r="L10" s="1"/>
      <c r="M10" s="1"/>
      <c r="N10" s="1"/>
      <c r="O10" s="1"/>
      <c r="P10" s="1"/>
    </row>
    <row r="11" spans="1:16" x14ac:dyDescent="0.3">
      <c r="A11" s="13" t="s">
        <v>25</v>
      </c>
      <c r="B11" s="64">
        <f ca="1">Base_Assumptions!C15</f>
        <v>0.28083782263181095</v>
      </c>
      <c r="C11" s="55" t="s">
        <v>69</v>
      </c>
      <c r="D11" s="109">
        <v>0.24</v>
      </c>
      <c r="E11" s="56">
        <v>0.29049999999999998</v>
      </c>
      <c r="F11" s="112">
        <v>0.32</v>
      </c>
      <c r="G11" s="1"/>
      <c r="H11" s="1"/>
      <c r="I11" s="1"/>
      <c r="J11" s="1"/>
      <c r="K11" s="1"/>
      <c r="L11" s="1"/>
      <c r="M11" s="1"/>
      <c r="N11" s="1"/>
      <c r="O11" s="1"/>
      <c r="P11" s="1"/>
    </row>
    <row r="12" spans="1:16" x14ac:dyDescent="0.3">
      <c r="A12" s="13" t="s">
        <v>66</v>
      </c>
      <c r="B12" s="64">
        <f>Base_Assumptions!C16</f>
        <v>0.10131875386404837</v>
      </c>
      <c r="C12" s="55" t="s">
        <v>69</v>
      </c>
      <c r="D12" s="109">
        <v>0.08</v>
      </c>
      <c r="E12" s="56">
        <v>0.10131875386404837</v>
      </c>
      <c r="F12" s="112">
        <v>0.12</v>
      </c>
      <c r="G12" s="1"/>
      <c r="H12" s="1"/>
      <c r="I12" s="1"/>
      <c r="J12" s="1"/>
      <c r="K12" s="1"/>
      <c r="L12" s="1"/>
      <c r="M12" s="1"/>
      <c r="N12" s="1"/>
      <c r="O12" s="1"/>
      <c r="P12" s="1"/>
    </row>
    <row r="13" spans="1:16" x14ac:dyDescent="0.3">
      <c r="A13" s="13" t="s">
        <v>67</v>
      </c>
      <c r="B13" s="64">
        <f ca="1">Base_Assumptions!C24</f>
        <v>0.50206393140696104</v>
      </c>
      <c r="C13" s="55" t="s">
        <v>69</v>
      </c>
      <c r="D13" s="109">
        <v>0.4</v>
      </c>
      <c r="E13" s="56">
        <v>0.45600000000000002</v>
      </c>
      <c r="F13" s="112">
        <v>0.8</v>
      </c>
      <c r="G13" s="1"/>
      <c r="H13" s="1"/>
      <c r="I13" s="1"/>
      <c r="J13" s="1"/>
      <c r="K13" s="1"/>
      <c r="L13" s="1"/>
      <c r="M13" s="1"/>
      <c r="N13" s="1"/>
      <c r="O13" s="1"/>
      <c r="P13" s="1"/>
    </row>
    <row r="14" spans="1:16" x14ac:dyDescent="0.3">
      <c r="A14" s="13" t="s">
        <v>68</v>
      </c>
      <c r="B14" s="64">
        <f ca="1">Base_Assumptions!C26</f>
        <v>0.19984056713641812</v>
      </c>
      <c r="C14" s="55" t="s">
        <v>69</v>
      </c>
      <c r="D14" s="109">
        <v>0.15</v>
      </c>
      <c r="E14" s="56">
        <v>0.19420000000000001</v>
      </c>
      <c r="F14" s="112">
        <v>0.23</v>
      </c>
      <c r="G14" s="1"/>
      <c r="H14" s="1"/>
      <c r="I14" s="1"/>
      <c r="J14" s="1"/>
      <c r="K14" s="1"/>
      <c r="L14" s="1"/>
      <c r="M14" s="1"/>
      <c r="N14" s="1"/>
      <c r="O14" s="1"/>
      <c r="P14" s="1"/>
    </row>
    <row r="15" spans="1:16" x14ac:dyDescent="0.3">
      <c r="A15" s="13" t="s">
        <v>27</v>
      </c>
      <c r="B15" s="64">
        <f ca="1">Base_Assumptions!C36</f>
        <v>0.1006261136674322</v>
      </c>
      <c r="C15" s="55" t="s">
        <v>69</v>
      </c>
      <c r="D15" s="109">
        <v>7.4999999999999997E-2</v>
      </c>
      <c r="E15" s="56">
        <v>0.10059999999999999</v>
      </c>
      <c r="F15" s="112">
        <v>0.11</v>
      </c>
      <c r="G15" s="1"/>
      <c r="H15" s="1"/>
      <c r="I15" s="1"/>
      <c r="J15" s="1"/>
      <c r="K15" s="1"/>
      <c r="L15" s="1"/>
      <c r="M15" s="1"/>
      <c r="N15" s="1"/>
      <c r="O15" s="1"/>
      <c r="P15" s="1"/>
    </row>
    <row r="16" spans="1:16" x14ac:dyDescent="0.3">
      <c r="A16" s="13" t="s">
        <v>54</v>
      </c>
      <c r="B16" s="64">
        <f ca="1">Base_Assumptions!C40</f>
        <v>4.2764664541154407E-2</v>
      </c>
      <c r="C16" s="55" t="s">
        <v>69</v>
      </c>
      <c r="D16" s="109">
        <v>2.5000000000000001E-2</v>
      </c>
      <c r="E16" s="56">
        <v>0.05</v>
      </c>
      <c r="F16" s="112">
        <v>0.08</v>
      </c>
      <c r="G16" s="1"/>
      <c r="H16" s="1"/>
      <c r="I16" s="1"/>
      <c r="J16" s="1"/>
      <c r="K16" s="1"/>
      <c r="L16" s="1"/>
      <c r="M16" s="1"/>
      <c r="N16" s="1"/>
      <c r="O16" s="1"/>
      <c r="P16" s="1"/>
    </row>
    <row r="17" spans="1:16" x14ac:dyDescent="0.3">
      <c r="A17" s="17" t="s">
        <v>55</v>
      </c>
      <c r="B17" s="65">
        <f ca="1">Base_Assumptions!C41</f>
        <v>0.11856069610842913</v>
      </c>
      <c r="C17" s="57" t="s">
        <v>69</v>
      </c>
      <c r="D17" s="110">
        <v>7.4999999999999997E-2</v>
      </c>
      <c r="E17" s="58">
        <v>0.10964912280701755</v>
      </c>
      <c r="F17" s="113">
        <v>0.13</v>
      </c>
      <c r="G17" s="1"/>
      <c r="H17" s="1"/>
      <c r="I17" s="1"/>
      <c r="J17" s="1"/>
      <c r="K17" s="1"/>
      <c r="L17" s="1"/>
      <c r="M17" s="1"/>
      <c r="N17" s="1"/>
      <c r="O17" s="1"/>
      <c r="P17" s="1"/>
    </row>
    <row r="18" spans="1:16" x14ac:dyDescent="0.3">
      <c r="A18" s="1"/>
      <c r="B18" s="1"/>
      <c r="C18" s="1"/>
      <c r="D18" s="1"/>
      <c r="E18" s="1"/>
      <c r="F18" s="1"/>
      <c r="G18" s="1"/>
      <c r="H18" s="1"/>
      <c r="I18" s="1"/>
      <c r="J18" s="1"/>
      <c r="K18" s="1"/>
      <c r="L18" s="1"/>
      <c r="M18" s="1"/>
      <c r="N18" s="1"/>
      <c r="O18" s="1"/>
      <c r="P18" s="1"/>
    </row>
    <row r="19" spans="1:16" x14ac:dyDescent="0.3">
      <c r="A19" s="1"/>
      <c r="B19" s="1"/>
      <c r="C19" s="1"/>
      <c r="D19" s="1"/>
      <c r="E19" s="1"/>
      <c r="F19" s="1"/>
      <c r="G19" s="1"/>
      <c r="H19" s="1"/>
      <c r="I19" s="1"/>
      <c r="J19" s="1"/>
      <c r="K19" s="1"/>
      <c r="L19" s="1"/>
      <c r="M19" s="1"/>
      <c r="N19" s="1"/>
      <c r="O19" s="1"/>
      <c r="P19" s="1"/>
    </row>
    <row r="20" spans="1:16" x14ac:dyDescent="0.3">
      <c r="A20" s="1"/>
      <c r="B20" s="1"/>
      <c r="C20" s="1"/>
      <c r="D20" s="1"/>
      <c r="E20" s="1"/>
      <c r="F20" s="1"/>
      <c r="G20" s="1"/>
      <c r="H20" s="1"/>
      <c r="I20" s="1"/>
      <c r="J20" s="1"/>
      <c r="K20" s="1"/>
      <c r="L20" s="1"/>
      <c r="M20" s="1"/>
      <c r="N20" s="1"/>
      <c r="O20" s="1"/>
      <c r="P20" s="1"/>
    </row>
    <row r="21" spans="1:16" x14ac:dyDescent="0.3">
      <c r="A21" s="1"/>
      <c r="B21" s="1"/>
      <c r="C21" s="1"/>
      <c r="D21" s="1"/>
      <c r="E21" s="1"/>
      <c r="F21" s="1"/>
      <c r="G21" s="1"/>
      <c r="H21" s="1"/>
      <c r="I21" s="1"/>
      <c r="J21" s="1"/>
      <c r="K21" s="1"/>
      <c r="L21" s="1"/>
      <c r="M21" s="1"/>
      <c r="N21" s="1"/>
      <c r="O21" s="1"/>
      <c r="P21" s="1"/>
    </row>
    <row r="22" spans="1:16" x14ac:dyDescent="0.3">
      <c r="A22" s="1"/>
      <c r="B22" s="1"/>
      <c r="C22" s="1"/>
      <c r="D22" s="1"/>
      <c r="E22" s="1"/>
      <c r="F22" s="1"/>
      <c r="G22" s="1"/>
      <c r="H22" s="1"/>
      <c r="I22" s="1"/>
      <c r="J22" s="1"/>
      <c r="K22" s="1"/>
      <c r="L22" s="1"/>
      <c r="M22" s="1"/>
      <c r="N22" s="1"/>
      <c r="O22" s="1"/>
      <c r="P22" s="1"/>
    </row>
    <row r="23" spans="1:16" x14ac:dyDescent="0.3">
      <c r="A23" s="1"/>
      <c r="B23" s="1"/>
      <c r="C23" s="1"/>
      <c r="D23" s="1"/>
      <c r="E23" s="1"/>
      <c r="F23" s="1"/>
      <c r="G23" s="1"/>
      <c r="H23" s="1"/>
      <c r="I23" s="1"/>
      <c r="J23" s="1"/>
      <c r="K23" s="1"/>
      <c r="L23" s="1"/>
      <c r="M23" s="1"/>
      <c r="N23" s="1"/>
      <c r="O23" s="1"/>
      <c r="P23" s="1"/>
    </row>
    <row r="24" spans="1:16" x14ac:dyDescent="0.3">
      <c r="A24" s="1"/>
      <c r="B24" s="1"/>
      <c r="C24" s="1"/>
      <c r="D24" s="1"/>
      <c r="E24" s="1"/>
      <c r="F24" s="1"/>
      <c r="G24" s="1"/>
      <c r="H24" s="1"/>
      <c r="I24" s="1"/>
      <c r="J24" s="1"/>
      <c r="K24" s="1"/>
      <c r="L24" s="1"/>
      <c r="M24" s="1"/>
      <c r="N24" s="1"/>
      <c r="O24" s="1"/>
      <c r="P24" s="1"/>
    </row>
    <row r="25" spans="1:16" x14ac:dyDescent="0.3">
      <c r="A25" s="1"/>
      <c r="B25" s="1"/>
      <c r="C25" s="1"/>
      <c r="D25" s="1"/>
      <c r="E25" s="1"/>
      <c r="F25" s="1"/>
      <c r="G25" s="1"/>
      <c r="H25" s="1"/>
      <c r="I25" s="1"/>
      <c r="J25" s="1"/>
      <c r="K25" s="1"/>
      <c r="L25" s="1"/>
      <c r="M25" s="1"/>
      <c r="N25" s="1"/>
      <c r="O25" s="1"/>
      <c r="P25" s="1"/>
    </row>
    <row r="26" spans="1:16" x14ac:dyDescent="0.3">
      <c r="A26" s="1"/>
      <c r="B26" s="1"/>
      <c r="C26" s="1"/>
      <c r="D26" s="1"/>
      <c r="E26" s="1"/>
      <c r="F26" s="1"/>
      <c r="G26" s="1"/>
      <c r="H26" s="1"/>
      <c r="I26" s="1"/>
      <c r="J26" s="1"/>
      <c r="K26" s="1"/>
      <c r="L26" s="1"/>
      <c r="M26" s="1"/>
      <c r="N26" s="1"/>
      <c r="O26" s="1"/>
      <c r="P26" s="1"/>
    </row>
    <row r="27" spans="1:16" x14ac:dyDescent="0.3">
      <c r="A27" s="1"/>
      <c r="B27" s="1"/>
      <c r="C27" s="1"/>
      <c r="D27" s="1"/>
      <c r="E27" s="1"/>
      <c r="F27" s="1"/>
      <c r="G27" s="1"/>
      <c r="H27" s="1"/>
      <c r="I27" s="1"/>
      <c r="J27" s="1"/>
      <c r="K27" s="1"/>
      <c r="L27" s="1"/>
      <c r="M27" s="1"/>
      <c r="N27" s="1"/>
      <c r="O27" s="1"/>
      <c r="P27" s="1"/>
    </row>
    <row r="28" spans="1:16" x14ac:dyDescent="0.3">
      <c r="A28" s="1"/>
      <c r="B28" s="1"/>
      <c r="C28" s="1"/>
      <c r="D28" s="1"/>
      <c r="E28" s="1"/>
      <c r="F28" s="1"/>
      <c r="G28" s="1"/>
      <c r="H28" s="1"/>
      <c r="I28" s="1"/>
      <c r="J28" s="1"/>
      <c r="K28" s="1"/>
      <c r="L28" s="1"/>
      <c r="M28" s="1"/>
      <c r="N28" s="1"/>
      <c r="O28" s="1"/>
      <c r="P28" s="1"/>
    </row>
    <row r="29" spans="1:16" x14ac:dyDescent="0.3">
      <c r="A29" s="1"/>
      <c r="B29" s="1"/>
      <c r="C29" s="1"/>
      <c r="D29" s="1"/>
      <c r="E29" s="1"/>
      <c r="F29" s="1"/>
      <c r="G29" s="1"/>
      <c r="H29" s="1"/>
      <c r="I29" s="1"/>
      <c r="J29" s="1"/>
      <c r="K29" s="1"/>
      <c r="L29" s="1"/>
      <c r="M29" s="1"/>
      <c r="N29" s="1"/>
      <c r="O29" s="1"/>
      <c r="P29" s="1"/>
    </row>
    <row r="30" spans="1:16" x14ac:dyDescent="0.3">
      <c r="A30" s="1"/>
      <c r="B30" s="1"/>
      <c r="C30" s="1"/>
      <c r="D30" s="1"/>
      <c r="E30" s="1"/>
      <c r="F30" s="1"/>
      <c r="G30" s="1"/>
      <c r="H30" s="1"/>
      <c r="I30" s="1"/>
      <c r="J30" s="1"/>
      <c r="K30" s="1"/>
      <c r="L30" s="1"/>
      <c r="M30" s="1"/>
      <c r="N30" s="1"/>
      <c r="O30" s="1"/>
      <c r="P30" s="1"/>
    </row>
    <row r="31" spans="1:16" x14ac:dyDescent="0.3">
      <c r="A31" s="1"/>
      <c r="B31" s="1"/>
      <c r="C31" s="1"/>
      <c r="D31" s="1"/>
      <c r="E31" s="1"/>
      <c r="F31" s="1"/>
      <c r="G31" s="1"/>
      <c r="H31" s="1"/>
      <c r="I31" s="1"/>
      <c r="J31" s="1"/>
      <c r="K31" s="1"/>
      <c r="L31" s="1"/>
      <c r="M31" s="1"/>
      <c r="N31" s="1"/>
      <c r="O31" s="1"/>
      <c r="P31" s="1"/>
    </row>
    <row r="32" spans="1:16" x14ac:dyDescent="0.3">
      <c r="A32" s="1"/>
      <c r="B32" s="1"/>
      <c r="C32" s="1"/>
      <c r="D32" s="1"/>
      <c r="E32" s="1"/>
      <c r="F32" s="1"/>
      <c r="G32" s="1"/>
      <c r="H32" s="1"/>
      <c r="I32" s="1"/>
      <c r="J32" s="1"/>
      <c r="K32" s="1"/>
      <c r="L32" s="1"/>
      <c r="M32" s="1"/>
      <c r="N32" s="1"/>
      <c r="O32" s="1"/>
      <c r="P32" s="1"/>
    </row>
    <row r="33" spans="1:16" x14ac:dyDescent="0.3">
      <c r="A33" s="1"/>
      <c r="B33" s="1"/>
      <c r="C33" s="1"/>
      <c r="D33" s="1"/>
      <c r="E33" s="1"/>
      <c r="F33" s="1"/>
      <c r="G33" s="1"/>
      <c r="H33" s="1"/>
      <c r="I33" s="1"/>
      <c r="J33" s="1"/>
      <c r="K33" s="1"/>
      <c r="L33" s="1"/>
      <c r="M33" s="1"/>
      <c r="N33" s="1"/>
      <c r="O33" s="1"/>
      <c r="P33" s="1"/>
    </row>
    <row r="34" spans="1:16" x14ac:dyDescent="0.3">
      <c r="A34" s="1"/>
      <c r="B34" s="1"/>
      <c r="C34" s="1"/>
      <c r="D34" s="1"/>
      <c r="E34" s="1"/>
      <c r="F34" s="1"/>
      <c r="G34" s="1"/>
      <c r="H34" s="1"/>
      <c r="I34" s="1"/>
      <c r="J34" s="1"/>
      <c r="K34" s="1"/>
      <c r="L34" s="1"/>
      <c r="M34" s="1"/>
      <c r="N34" s="1"/>
      <c r="O34" s="1"/>
      <c r="P34" s="1"/>
    </row>
    <row r="35" spans="1:16" x14ac:dyDescent="0.3">
      <c r="A35" s="1"/>
      <c r="B35" s="1"/>
      <c r="C35" s="1"/>
      <c r="D35" s="1"/>
      <c r="E35" s="1"/>
      <c r="F35" s="1"/>
      <c r="G35" s="1"/>
      <c r="H35" s="1"/>
      <c r="I35" s="1"/>
      <c r="J35" s="1"/>
      <c r="K35" s="1"/>
      <c r="L35" s="1"/>
      <c r="M35" s="1"/>
      <c r="N35" s="1"/>
      <c r="O35" s="1"/>
      <c r="P35" s="1"/>
    </row>
    <row r="36" spans="1:16" x14ac:dyDescent="0.3">
      <c r="A36" s="1"/>
      <c r="B36" s="1"/>
      <c r="C36" s="1"/>
      <c r="D36" s="1"/>
      <c r="E36" s="1"/>
      <c r="F36" s="1"/>
      <c r="G36" s="1"/>
      <c r="H36" s="1"/>
      <c r="I36" s="1"/>
      <c r="J36" s="1"/>
      <c r="K36" s="1"/>
      <c r="L36" s="1"/>
      <c r="M36" s="1"/>
      <c r="N36" s="1"/>
      <c r="O36" s="1"/>
      <c r="P36" s="1"/>
    </row>
  </sheetData>
  <mergeCells count="2">
    <mergeCell ref="A1:P2"/>
    <mergeCell ref="A4:O7"/>
  </mergeCells>
  <dataValidations count="1">
    <dataValidation type="list" allowBlank="1" showInputMessage="1" showErrorMessage="1" sqref="C10:C17" xr:uid="{29E0E07F-7E47-4675-85B6-740512639756}">
      <formula1>"Normal, Triangular"</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A3F6A-447C-4523-85B3-63E741CA9D34}">
  <sheetPr codeName="Sheet5">
    <tabColor rgb="FF009C31"/>
  </sheetPr>
  <dimension ref="A1:P36"/>
  <sheetViews>
    <sheetView showGridLines="0" workbookViewId="0">
      <selection activeCell="I18" sqref="I18"/>
    </sheetView>
  </sheetViews>
  <sheetFormatPr defaultRowHeight="14.4" x14ac:dyDescent="0.3"/>
  <cols>
    <col min="1" max="1" width="14.44140625" style="28" bestFit="1" customWidth="1"/>
    <col min="2" max="2" width="8.88671875" style="28"/>
    <col min="3" max="7" width="10.88671875" style="28" bestFit="1" customWidth="1"/>
    <col min="8" max="16384" width="8.88671875" style="28"/>
  </cols>
  <sheetData>
    <row r="1" spans="1:16" s="2" customFormat="1" ht="14.4" customHeight="1" x14ac:dyDescent="0.3">
      <c r="A1" s="161" t="s">
        <v>70</v>
      </c>
      <c r="B1" s="161"/>
      <c r="C1" s="161"/>
      <c r="D1" s="161"/>
      <c r="E1" s="161"/>
      <c r="F1" s="161"/>
      <c r="G1" s="161"/>
      <c r="H1" s="161"/>
      <c r="I1" s="161"/>
      <c r="J1" s="161"/>
      <c r="K1" s="161"/>
      <c r="L1" s="161"/>
      <c r="M1" s="161"/>
      <c r="N1" s="161"/>
      <c r="O1" s="161"/>
      <c r="P1" s="161"/>
    </row>
    <row r="2" spans="1:16" s="2" customFormat="1" ht="14.4" customHeight="1" x14ac:dyDescent="0.3">
      <c r="A2" s="161"/>
      <c r="B2" s="161"/>
      <c r="C2" s="161"/>
      <c r="D2" s="161"/>
      <c r="E2" s="161"/>
      <c r="F2" s="161"/>
      <c r="G2" s="161"/>
      <c r="H2" s="161"/>
      <c r="I2" s="161"/>
      <c r="J2" s="161"/>
      <c r="K2" s="161"/>
      <c r="L2" s="161"/>
      <c r="M2" s="161"/>
      <c r="N2" s="161"/>
      <c r="O2" s="161"/>
      <c r="P2" s="161"/>
    </row>
    <row r="3" spans="1:16" x14ac:dyDescent="0.3">
      <c r="A3" s="5"/>
      <c r="B3" s="5"/>
      <c r="C3" s="5"/>
      <c r="D3" s="5"/>
      <c r="E3" s="5"/>
      <c r="F3" s="5"/>
      <c r="G3" s="5"/>
      <c r="H3" s="5"/>
      <c r="I3" s="5"/>
      <c r="J3" s="5"/>
      <c r="K3" s="5"/>
      <c r="L3" s="5"/>
      <c r="M3" s="5"/>
      <c r="N3" s="5"/>
      <c r="O3" s="5"/>
      <c r="P3" s="5"/>
    </row>
    <row r="4" spans="1:16" x14ac:dyDescent="0.3">
      <c r="A4" s="36" t="s">
        <v>12</v>
      </c>
      <c r="B4" s="5"/>
      <c r="C4" s="66" t="s">
        <v>73</v>
      </c>
      <c r="D4" s="66" t="s">
        <v>74</v>
      </c>
      <c r="E4" s="66" t="s">
        <v>75</v>
      </c>
      <c r="F4" s="66" t="s">
        <v>76</v>
      </c>
      <c r="G4" s="66" t="s">
        <v>77</v>
      </c>
      <c r="H4" s="5"/>
      <c r="I4" s="5"/>
      <c r="J4" s="5"/>
      <c r="K4" s="5"/>
      <c r="L4" s="5"/>
      <c r="M4" s="5"/>
      <c r="N4" s="5"/>
      <c r="O4" s="5"/>
      <c r="P4" s="5"/>
    </row>
    <row r="5" spans="1:16" x14ac:dyDescent="0.3">
      <c r="A5" s="5"/>
      <c r="B5" s="5"/>
      <c r="C5" s="5"/>
      <c r="D5" s="5"/>
      <c r="E5" s="5"/>
      <c r="F5" s="5"/>
      <c r="G5" s="5"/>
      <c r="H5" s="5"/>
      <c r="I5" s="5"/>
      <c r="J5" s="5"/>
      <c r="K5" s="5"/>
      <c r="L5" s="5"/>
      <c r="M5" s="5"/>
      <c r="N5" s="5"/>
      <c r="O5" s="5"/>
      <c r="P5" s="5"/>
    </row>
    <row r="6" spans="1:16" x14ac:dyDescent="0.3">
      <c r="A6" s="171" t="s">
        <v>71</v>
      </c>
      <c r="B6" s="172"/>
      <c r="C6" s="172"/>
      <c r="D6" s="172"/>
      <c r="E6" s="172"/>
      <c r="F6" s="172"/>
      <c r="G6" s="173"/>
      <c r="H6" s="5"/>
      <c r="I6" s="5"/>
      <c r="J6" s="5"/>
      <c r="K6" s="5"/>
      <c r="L6" s="5"/>
      <c r="M6" s="5"/>
      <c r="N6" s="5"/>
      <c r="O6" s="5"/>
      <c r="P6" s="5"/>
    </row>
    <row r="7" spans="1:16" x14ac:dyDescent="0.3">
      <c r="A7" s="7"/>
      <c r="B7" s="8"/>
      <c r="C7" s="69">
        <f ca="1">Base_Assumptions!C6*(1+Base_Assumptions!$C$10)</f>
        <v>202154.96392010947</v>
      </c>
      <c r="D7" s="69">
        <f ca="1">C7*(1+Base_Assumptions!$C$10)</f>
        <v>214116.11236150077</v>
      </c>
      <c r="E7" s="69">
        <f ca="1">D7*(1+Base_Assumptions!$C$10)</f>
        <v>226784.9806098296</v>
      </c>
      <c r="F7" s="69">
        <f ca="1">E7*(1+Base_Assumptions!$C$10)</f>
        <v>240203.44318304758</v>
      </c>
      <c r="G7" s="70">
        <f ca="1">F7*(1+Base_Assumptions!$C$10)</f>
        <v>254415.85223960268</v>
      </c>
      <c r="H7" s="5"/>
      <c r="I7" s="5"/>
      <c r="J7" s="5"/>
      <c r="K7" s="5"/>
      <c r="L7" s="5"/>
      <c r="M7" s="5"/>
      <c r="N7" s="5"/>
      <c r="O7" s="5"/>
      <c r="P7" s="5"/>
    </row>
    <row r="8" spans="1:16" x14ac:dyDescent="0.3">
      <c r="A8" s="5"/>
      <c r="B8" s="5"/>
      <c r="C8" s="5"/>
      <c r="D8" s="5"/>
      <c r="E8" s="5"/>
      <c r="F8" s="5"/>
      <c r="G8" s="5"/>
      <c r="H8" s="5"/>
      <c r="I8" s="5"/>
      <c r="J8" s="5"/>
      <c r="K8" s="5"/>
      <c r="L8" s="5"/>
      <c r="M8" s="5"/>
      <c r="N8" s="5"/>
      <c r="O8" s="5"/>
      <c r="P8" s="5"/>
    </row>
    <row r="9" spans="1:16" x14ac:dyDescent="0.3">
      <c r="A9" s="171" t="s">
        <v>38</v>
      </c>
      <c r="B9" s="172"/>
      <c r="C9" s="172"/>
      <c r="D9" s="172"/>
      <c r="E9" s="172"/>
      <c r="F9" s="172"/>
      <c r="G9" s="173"/>
      <c r="H9" s="5"/>
      <c r="I9" s="5"/>
      <c r="J9" s="5"/>
      <c r="K9" s="5"/>
      <c r="L9" s="5"/>
      <c r="M9" s="5"/>
      <c r="N9" s="5"/>
      <c r="O9" s="5"/>
      <c r="P9" s="5"/>
    </row>
    <row r="10" spans="1:16" x14ac:dyDescent="0.3">
      <c r="A10" s="6" t="s">
        <v>72</v>
      </c>
      <c r="B10" s="5"/>
      <c r="C10" s="68">
        <f ca="1">C7*Base_Assumptions!$C$15</f>
        <v>56772.759901535843</v>
      </c>
      <c r="D10" s="68">
        <f ca="1">D7*Base_Assumptions!$C$15</f>
        <v>60131.902785992053</v>
      </c>
      <c r="E10" s="68">
        <f ca="1">E7*Base_Assumptions!$C$15</f>
        <v>63689.800160062012</v>
      </c>
      <c r="F10" s="68">
        <f ca="1">F7*Base_Assumptions!$C$15</f>
        <v>67458.211972190998</v>
      </c>
      <c r="G10" s="71">
        <f ca="1">G7*Base_Assumptions!$C$15</f>
        <v>71449.593985986561</v>
      </c>
      <c r="H10" s="5"/>
      <c r="I10" s="5"/>
      <c r="J10" s="5"/>
      <c r="K10" s="5"/>
      <c r="L10" s="5"/>
      <c r="M10" s="5"/>
      <c r="N10" s="5"/>
      <c r="O10" s="5"/>
      <c r="P10" s="5"/>
    </row>
    <row r="11" spans="1:16" x14ac:dyDescent="0.3">
      <c r="A11" s="6" t="s">
        <v>78</v>
      </c>
      <c r="B11" s="5"/>
      <c r="C11" s="68">
        <f ca="1">C7*Base_Assumptions!$C$16</f>
        <v>20482.089031817151</v>
      </c>
      <c r="D11" s="68">
        <f ca="1">D7*Base_Assumptions!$C$16</f>
        <v>21693.977686681821</v>
      </c>
      <c r="E11" s="68">
        <f ca="1">E7*Base_Assumptions!$C$16</f>
        <v>22977.571630470309</v>
      </c>
      <c r="F11" s="68">
        <f ca="1">F7*Base_Assumptions!$C$16</f>
        <v>24337.113537160127</v>
      </c>
      <c r="G11" s="71">
        <f ca="1">G7*Base_Assumptions!$C$16</f>
        <v>25777.097112176405</v>
      </c>
      <c r="H11" s="5"/>
      <c r="I11" s="5"/>
      <c r="J11" s="5"/>
      <c r="K11" s="5"/>
      <c r="L11" s="5"/>
      <c r="M11" s="5"/>
      <c r="N11" s="5"/>
      <c r="O11" s="5"/>
      <c r="P11" s="5"/>
    </row>
    <row r="12" spans="1:16" x14ac:dyDescent="0.3">
      <c r="A12" s="6" t="s">
        <v>79</v>
      </c>
      <c r="B12" s="5"/>
      <c r="C12" s="68">
        <f ca="1">C10-C11</f>
        <v>36290.670869718691</v>
      </c>
      <c r="D12" s="68">
        <f t="shared" ref="D12:G12" ca="1" si="0">D10-D11</f>
        <v>38437.925099310232</v>
      </c>
      <c r="E12" s="68">
        <f t="shared" ca="1" si="0"/>
        <v>40712.228529591703</v>
      </c>
      <c r="F12" s="68">
        <f t="shared" ca="1" si="0"/>
        <v>43121.098435030872</v>
      </c>
      <c r="G12" s="71">
        <f t="shared" ca="1" si="0"/>
        <v>45672.49687381016</v>
      </c>
      <c r="H12" s="5"/>
      <c r="I12" s="5"/>
      <c r="J12" s="5"/>
      <c r="K12" s="5"/>
      <c r="L12" s="5"/>
      <c r="M12" s="5"/>
      <c r="N12" s="5"/>
      <c r="O12" s="5"/>
      <c r="P12" s="5"/>
    </row>
    <row r="13" spans="1:16" x14ac:dyDescent="0.3">
      <c r="A13" s="6" t="s">
        <v>80</v>
      </c>
      <c r="B13" s="5"/>
      <c r="C13" s="68">
        <f ca="1">C12*Base_Assumptions!$C$18</f>
        <v>9072.6677174296728</v>
      </c>
      <c r="D13" s="68">
        <f ca="1">D12*Base_Assumptions!$C$18</f>
        <v>9609.4812748275581</v>
      </c>
      <c r="E13" s="68">
        <f ca="1">E12*Base_Assumptions!$C$18</f>
        <v>10178.057132397926</v>
      </c>
      <c r="F13" s="68">
        <f ca="1">F12*Base_Assumptions!$C$18</f>
        <v>10780.274608757718</v>
      </c>
      <c r="G13" s="71">
        <f ca="1">G12*Base_Assumptions!$C$18</f>
        <v>11418.12421845254</v>
      </c>
      <c r="H13" s="5"/>
      <c r="I13" s="5"/>
      <c r="J13" s="5"/>
      <c r="K13" s="5"/>
      <c r="L13" s="5"/>
      <c r="M13" s="5"/>
      <c r="N13" s="5"/>
      <c r="O13" s="5"/>
      <c r="P13" s="5"/>
    </row>
    <row r="14" spans="1:16" x14ac:dyDescent="0.3">
      <c r="A14" s="7" t="s">
        <v>81</v>
      </c>
      <c r="B14" s="8"/>
      <c r="C14" s="72">
        <f ca="1">C12-C13</f>
        <v>27218.00315228902</v>
      </c>
      <c r="D14" s="72">
        <f t="shared" ref="D14:G14" ca="1" si="1">D12-D13</f>
        <v>28828.443824482674</v>
      </c>
      <c r="E14" s="72">
        <f t="shared" ca="1" si="1"/>
        <v>30534.171397193779</v>
      </c>
      <c r="F14" s="72">
        <f t="shared" ca="1" si="1"/>
        <v>32340.823826273154</v>
      </c>
      <c r="G14" s="73">
        <f t="shared" ca="1" si="1"/>
        <v>34254.37265535762</v>
      </c>
      <c r="H14" s="5"/>
      <c r="I14" s="5"/>
      <c r="J14" s="5"/>
      <c r="K14" s="5"/>
      <c r="L14" s="5"/>
      <c r="M14" s="5"/>
      <c r="N14" s="5"/>
      <c r="O14" s="5"/>
      <c r="P14" s="5"/>
    </row>
    <row r="15" spans="1:16" x14ac:dyDescent="0.3">
      <c r="A15" s="5"/>
      <c r="B15" s="5"/>
      <c r="C15" s="5"/>
      <c r="D15" s="5"/>
      <c r="E15" s="5"/>
      <c r="F15" s="5"/>
      <c r="G15" s="5"/>
      <c r="H15" s="5"/>
      <c r="I15" s="5"/>
      <c r="J15" s="5"/>
      <c r="K15" s="5"/>
      <c r="L15" s="5"/>
      <c r="M15" s="5"/>
      <c r="N15" s="5"/>
      <c r="O15" s="5"/>
      <c r="P15" s="5"/>
    </row>
    <row r="16" spans="1:16" x14ac:dyDescent="0.3">
      <c r="A16" s="171" t="s">
        <v>82</v>
      </c>
      <c r="B16" s="172"/>
      <c r="C16" s="172"/>
      <c r="D16" s="172"/>
      <c r="E16" s="172"/>
      <c r="F16" s="172"/>
      <c r="G16" s="173"/>
      <c r="H16" s="5"/>
      <c r="I16" s="5"/>
      <c r="J16" s="5"/>
      <c r="K16" s="5"/>
      <c r="L16" s="5"/>
      <c r="M16" s="5"/>
      <c r="N16" s="5"/>
      <c r="O16" s="5"/>
      <c r="P16" s="5"/>
    </row>
    <row r="17" spans="1:16" x14ac:dyDescent="0.3">
      <c r="A17" s="6" t="s">
        <v>83</v>
      </c>
      <c r="B17" s="5"/>
      <c r="C17" s="68">
        <f ca="1">C7*Base_Assumptions!$C$23</f>
        <v>24258.595670413135</v>
      </c>
      <c r="D17" s="68">
        <f ca="1">D7*Base_Assumptions!$C$23</f>
        <v>25693.933483380089</v>
      </c>
      <c r="E17" s="68">
        <f ca="1">E7*Base_Assumptions!$C$23</f>
        <v>27214.197673179551</v>
      </c>
      <c r="F17" s="68">
        <f ca="1">F7*Base_Assumptions!$C$23</f>
        <v>28824.413181965709</v>
      </c>
      <c r="G17" s="71">
        <f ca="1">G7*Base_Assumptions!$C$23</f>
        <v>30529.902268752321</v>
      </c>
      <c r="H17" s="5"/>
      <c r="I17" s="5"/>
      <c r="J17" s="5"/>
      <c r="K17" s="5"/>
      <c r="L17" s="5"/>
      <c r="M17" s="5"/>
      <c r="N17" s="5"/>
      <c r="O17" s="5"/>
      <c r="P17" s="5"/>
    </row>
    <row r="18" spans="1:16" x14ac:dyDescent="0.3">
      <c r="A18" s="6" t="s">
        <v>84</v>
      </c>
      <c r="B18" s="5"/>
      <c r="C18" s="68">
        <f ca="1">(C7-Base_Assumptions!C6)*Base_Assumptions!C27</f>
        <v>992.31273966001902</v>
      </c>
      <c r="D18" s="68">
        <f ca="1">(D7-C7)*Base_Assumptions!$C$27</f>
        <v>1051.0261135450535</v>
      </c>
      <c r="E18" s="68">
        <f ca="1">(E7-D7)*Base_Assumptions!$C$27</f>
        <v>1113.2134529806542</v>
      </c>
      <c r="F18" s="68">
        <f ca="1">(F7-E7)*Base_Assumptions!$C$27</f>
        <v>1179.0803063086644</v>
      </c>
      <c r="G18" s="71">
        <f ca="1">(G7-F7)*Base_Assumptions!$C$27</f>
        <v>1248.8443837994969</v>
      </c>
      <c r="H18" s="5"/>
      <c r="I18" s="5"/>
      <c r="J18" s="5"/>
      <c r="K18" s="5"/>
      <c r="L18" s="5"/>
      <c r="M18" s="5"/>
      <c r="N18" s="5"/>
      <c r="O18" s="5"/>
      <c r="P18" s="5"/>
    </row>
    <row r="19" spans="1:16" x14ac:dyDescent="0.3">
      <c r="A19" s="7" t="s">
        <v>85</v>
      </c>
      <c r="B19" s="8"/>
      <c r="C19" s="72">
        <f ca="1">C17+C18</f>
        <v>25250.908410073152</v>
      </c>
      <c r="D19" s="72">
        <f t="shared" ref="D19:G19" ca="1" si="2">D17+D18</f>
        <v>26744.959596925142</v>
      </c>
      <c r="E19" s="72">
        <f t="shared" ca="1" si="2"/>
        <v>28327.411126160205</v>
      </c>
      <c r="F19" s="72">
        <f t="shared" ca="1" si="2"/>
        <v>30003.493488274373</v>
      </c>
      <c r="G19" s="73">
        <f t="shared" ca="1" si="2"/>
        <v>31778.746652551818</v>
      </c>
      <c r="H19" s="5"/>
      <c r="I19" s="5"/>
      <c r="J19" s="5"/>
      <c r="K19" s="5"/>
      <c r="L19" s="5"/>
      <c r="M19" s="5"/>
      <c r="N19" s="5"/>
      <c r="O19" s="5"/>
      <c r="P19" s="5"/>
    </row>
    <row r="20" spans="1:16" x14ac:dyDescent="0.3">
      <c r="A20" s="5"/>
      <c r="B20" s="5"/>
      <c r="C20" s="5"/>
      <c r="D20" s="5"/>
      <c r="E20" s="5"/>
      <c r="F20" s="5"/>
      <c r="G20" s="5"/>
      <c r="H20" s="5"/>
      <c r="I20" s="5"/>
      <c r="J20" s="5"/>
      <c r="K20" s="5"/>
      <c r="L20" s="5"/>
      <c r="M20" s="5"/>
      <c r="N20" s="5"/>
      <c r="O20" s="5"/>
      <c r="P20" s="5"/>
    </row>
    <row r="21" spans="1:16" x14ac:dyDescent="0.3">
      <c r="A21" s="171" t="s">
        <v>86</v>
      </c>
      <c r="B21" s="172"/>
      <c r="C21" s="172"/>
      <c r="D21" s="172"/>
      <c r="E21" s="172"/>
      <c r="F21" s="172"/>
      <c r="G21" s="173"/>
      <c r="H21" s="5"/>
      <c r="I21" s="5"/>
      <c r="J21" s="5"/>
      <c r="K21" s="5"/>
      <c r="L21" s="5"/>
      <c r="M21" s="5"/>
      <c r="N21" s="5"/>
      <c r="O21" s="5"/>
      <c r="P21" s="5"/>
    </row>
    <row r="22" spans="1:16" x14ac:dyDescent="0.3">
      <c r="A22" s="7" t="s">
        <v>87</v>
      </c>
      <c r="B22" s="8"/>
      <c r="C22" s="72">
        <f ca="1">C14+C11-C19</f>
        <v>22449.183774033019</v>
      </c>
      <c r="D22" s="72">
        <f t="shared" ref="D22:G22" ca="1" si="3">D14+D11-D19</f>
        <v>23777.461914239353</v>
      </c>
      <c r="E22" s="72">
        <f t="shared" ca="1" si="3"/>
        <v>25184.331901503883</v>
      </c>
      <c r="F22" s="72">
        <f t="shared" ca="1" si="3"/>
        <v>26674.443875158908</v>
      </c>
      <c r="G22" s="73">
        <f t="shared" ca="1" si="3"/>
        <v>28252.723114982211</v>
      </c>
      <c r="H22" s="5"/>
      <c r="I22" s="5"/>
      <c r="J22" s="5"/>
      <c r="K22" s="5"/>
      <c r="L22" s="5"/>
      <c r="M22" s="5"/>
      <c r="N22" s="5"/>
      <c r="O22" s="5"/>
      <c r="P22" s="5"/>
    </row>
    <row r="23" spans="1:16" x14ac:dyDescent="0.3">
      <c r="A23" s="5"/>
      <c r="B23" s="5"/>
      <c r="C23" s="5"/>
      <c r="D23" s="5"/>
      <c r="E23" s="5"/>
      <c r="F23" s="5"/>
      <c r="G23" s="5"/>
      <c r="H23" s="5"/>
      <c r="I23" s="5"/>
      <c r="J23" s="5"/>
      <c r="K23" s="5"/>
      <c r="L23" s="5"/>
      <c r="M23" s="5"/>
      <c r="N23" s="5"/>
      <c r="O23" s="5"/>
      <c r="P23" s="5"/>
    </row>
    <row r="24" spans="1:16" x14ac:dyDescent="0.3">
      <c r="A24" s="171" t="s">
        <v>88</v>
      </c>
      <c r="B24" s="172"/>
      <c r="C24" s="172"/>
      <c r="D24" s="172"/>
      <c r="E24" s="172"/>
      <c r="F24" s="172"/>
      <c r="G24" s="173"/>
      <c r="H24" s="5"/>
      <c r="I24" s="5"/>
      <c r="J24" s="5"/>
      <c r="K24" s="5"/>
      <c r="L24" s="5"/>
      <c r="M24" s="5"/>
      <c r="N24" s="5"/>
      <c r="O24" s="5"/>
      <c r="P24" s="5"/>
    </row>
    <row r="25" spans="1:16" x14ac:dyDescent="0.3">
      <c r="A25" s="6" t="s">
        <v>23</v>
      </c>
      <c r="B25" s="5"/>
      <c r="C25" s="74">
        <f ca="1">C10/C7</f>
        <v>0.28083782263181095</v>
      </c>
      <c r="D25" s="74">
        <f t="shared" ref="D25:G25" ca="1" si="4">D10/D7</f>
        <v>0.28083782263181095</v>
      </c>
      <c r="E25" s="74">
        <f t="shared" ca="1" si="4"/>
        <v>0.28083782263181095</v>
      </c>
      <c r="F25" s="74">
        <f t="shared" ca="1" si="4"/>
        <v>0.28083782263181095</v>
      </c>
      <c r="G25" s="75">
        <f t="shared" ca="1" si="4"/>
        <v>0.28083782263181095</v>
      </c>
      <c r="H25" s="5"/>
      <c r="I25" s="5"/>
      <c r="J25" s="5"/>
      <c r="K25" s="5"/>
      <c r="L25" s="5"/>
      <c r="M25" s="5"/>
      <c r="N25" s="5"/>
      <c r="O25" s="5"/>
      <c r="P25" s="5"/>
    </row>
    <row r="26" spans="1:16" x14ac:dyDescent="0.3">
      <c r="A26" s="6" t="s">
        <v>89</v>
      </c>
      <c r="B26" s="5"/>
      <c r="C26" s="74">
        <f ca="1">C12/C7</f>
        <v>0.17951906876776255</v>
      </c>
      <c r="D26" s="74">
        <f t="shared" ref="D26:G26" ca="1" si="5">D12/D7</f>
        <v>0.17951906876776255</v>
      </c>
      <c r="E26" s="74">
        <f t="shared" ca="1" si="5"/>
        <v>0.17951906876776258</v>
      </c>
      <c r="F26" s="74">
        <f t="shared" ca="1" si="5"/>
        <v>0.17951906876776258</v>
      </c>
      <c r="G26" s="75">
        <f t="shared" ca="1" si="5"/>
        <v>0.17951906876776258</v>
      </c>
      <c r="H26" s="5"/>
      <c r="I26" s="5"/>
      <c r="J26" s="5"/>
      <c r="K26" s="5"/>
      <c r="L26" s="5"/>
      <c r="M26" s="5"/>
      <c r="N26" s="5"/>
      <c r="O26" s="5"/>
      <c r="P26" s="5"/>
    </row>
    <row r="27" spans="1:16" x14ac:dyDescent="0.3">
      <c r="A27" s="7" t="s">
        <v>90</v>
      </c>
      <c r="B27" s="8"/>
      <c r="C27" s="76">
        <f ca="1">C22/C7</f>
        <v>0.11104938181436304</v>
      </c>
      <c r="D27" s="76">
        <f t="shared" ref="D27:G27" ca="1" si="6">D22/D7</f>
        <v>0.11104938181436302</v>
      </c>
      <c r="E27" s="76">
        <f t="shared" ca="1" si="6"/>
        <v>0.11104938181436302</v>
      </c>
      <c r="F27" s="76">
        <f t="shared" ca="1" si="6"/>
        <v>0.11104938181436304</v>
      </c>
      <c r="G27" s="77">
        <f t="shared" ca="1" si="6"/>
        <v>0.11104938181436305</v>
      </c>
      <c r="H27" s="5"/>
      <c r="I27" s="5"/>
      <c r="J27" s="5"/>
      <c r="K27" s="5"/>
      <c r="L27" s="5"/>
      <c r="M27" s="5"/>
      <c r="N27" s="5"/>
      <c r="O27" s="5"/>
      <c r="P27" s="5"/>
    </row>
    <row r="28" spans="1:16" x14ac:dyDescent="0.3">
      <c r="A28" s="5"/>
      <c r="B28" s="5"/>
      <c r="C28" s="5"/>
      <c r="D28" s="5"/>
      <c r="E28" s="5"/>
      <c r="F28" s="5"/>
      <c r="G28" s="5"/>
      <c r="H28" s="5"/>
      <c r="I28" s="5"/>
      <c r="J28" s="5"/>
      <c r="K28" s="5"/>
      <c r="L28" s="5"/>
      <c r="M28" s="5"/>
      <c r="N28" s="5"/>
      <c r="O28" s="5"/>
      <c r="P28" s="5"/>
    </row>
    <row r="29" spans="1:16" x14ac:dyDescent="0.3">
      <c r="A29" s="5"/>
      <c r="B29" s="5"/>
      <c r="C29" s="5"/>
      <c r="D29" s="5"/>
      <c r="E29" s="5"/>
      <c r="F29" s="5"/>
      <c r="G29" s="5"/>
      <c r="H29" s="5"/>
      <c r="I29" s="5"/>
      <c r="J29" s="5"/>
      <c r="K29" s="5"/>
      <c r="L29" s="5"/>
      <c r="M29" s="5"/>
      <c r="N29" s="5"/>
      <c r="O29" s="5"/>
      <c r="P29" s="5"/>
    </row>
    <row r="30" spans="1:16" x14ac:dyDescent="0.3">
      <c r="A30" s="5"/>
      <c r="B30" s="5"/>
      <c r="C30" s="5"/>
      <c r="D30" s="5"/>
      <c r="E30" s="5"/>
      <c r="F30" s="5"/>
      <c r="G30" s="5"/>
      <c r="H30" s="5"/>
      <c r="I30" s="5"/>
      <c r="J30" s="5"/>
      <c r="K30" s="5"/>
      <c r="L30" s="5"/>
      <c r="M30" s="5"/>
      <c r="N30" s="5"/>
      <c r="O30" s="5"/>
      <c r="P30" s="5"/>
    </row>
    <row r="31" spans="1:16" x14ac:dyDescent="0.3">
      <c r="A31" s="5"/>
      <c r="B31" s="5"/>
      <c r="C31" s="5"/>
      <c r="D31" s="5"/>
      <c r="E31" s="5"/>
      <c r="F31" s="5"/>
      <c r="G31" s="5"/>
      <c r="H31" s="5"/>
      <c r="I31" s="5"/>
      <c r="J31" s="5"/>
      <c r="K31" s="5"/>
      <c r="L31" s="5"/>
      <c r="M31" s="5"/>
      <c r="N31" s="5"/>
      <c r="O31" s="5"/>
      <c r="P31" s="5"/>
    </row>
    <row r="32" spans="1:16" x14ac:dyDescent="0.3">
      <c r="A32" s="5"/>
      <c r="B32" s="5"/>
      <c r="C32" s="5"/>
      <c r="D32" s="5"/>
      <c r="E32" s="5"/>
      <c r="F32" s="5"/>
      <c r="G32" s="5"/>
      <c r="H32" s="5"/>
      <c r="I32" s="5"/>
      <c r="J32" s="5"/>
      <c r="K32" s="5"/>
      <c r="L32" s="5"/>
      <c r="M32" s="5"/>
      <c r="N32" s="5"/>
      <c r="O32" s="5"/>
      <c r="P32" s="5"/>
    </row>
    <row r="33" spans="1:16" x14ac:dyDescent="0.3">
      <c r="A33" s="5"/>
      <c r="B33" s="5"/>
      <c r="C33" s="5"/>
      <c r="D33" s="5"/>
      <c r="E33" s="5"/>
      <c r="F33" s="5"/>
      <c r="G33" s="5"/>
      <c r="H33" s="5"/>
      <c r="I33" s="5"/>
      <c r="J33" s="5"/>
      <c r="K33" s="5"/>
      <c r="L33" s="5"/>
      <c r="M33" s="5"/>
      <c r="N33" s="5"/>
      <c r="O33" s="5"/>
      <c r="P33" s="5"/>
    </row>
    <row r="34" spans="1:16" x14ac:dyDescent="0.3">
      <c r="A34" s="5"/>
      <c r="B34" s="5"/>
      <c r="C34" s="5"/>
      <c r="D34" s="5"/>
      <c r="E34" s="5"/>
      <c r="F34" s="5"/>
      <c r="G34" s="5"/>
      <c r="H34" s="5"/>
      <c r="I34" s="5"/>
      <c r="J34" s="5"/>
      <c r="K34" s="5"/>
      <c r="L34" s="5"/>
      <c r="M34" s="5"/>
      <c r="N34" s="5"/>
      <c r="O34" s="5"/>
      <c r="P34" s="5"/>
    </row>
    <row r="35" spans="1:16" x14ac:dyDescent="0.3">
      <c r="A35" s="5"/>
      <c r="B35" s="5"/>
      <c r="C35" s="5"/>
      <c r="D35" s="5"/>
      <c r="E35" s="5"/>
      <c r="F35" s="5"/>
      <c r="G35" s="5"/>
      <c r="H35" s="5"/>
      <c r="I35" s="5"/>
      <c r="J35" s="5"/>
      <c r="K35" s="5"/>
      <c r="L35" s="5"/>
      <c r="M35" s="5"/>
      <c r="N35" s="5"/>
      <c r="O35" s="5"/>
      <c r="P35" s="5"/>
    </row>
    <row r="36" spans="1:16" x14ac:dyDescent="0.3">
      <c r="A36" s="5"/>
      <c r="B36" s="5"/>
      <c r="C36" s="5"/>
      <c r="D36" s="5"/>
      <c r="E36" s="5"/>
      <c r="F36" s="5"/>
      <c r="G36" s="5"/>
      <c r="H36" s="5"/>
      <c r="I36" s="5"/>
      <c r="J36" s="5"/>
      <c r="K36" s="5"/>
      <c r="L36" s="5"/>
      <c r="M36" s="5"/>
      <c r="N36" s="5"/>
      <c r="O36" s="5"/>
      <c r="P36" s="5"/>
    </row>
  </sheetData>
  <mergeCells count="6">
    <mergeCell ref="A24:G24"/>
    <mergeCell ref="A1:P2"/>
    <mergeCell ref="A6:G6"/>
    <mergeCell ref="A9:G9"/>
    <mergeCell ref="A16:G16"/>
    <mergeCell ref="A21:G21"/>
  </mergeCells>
  <phoneticPr fontId="18" type="noConversion"/>
  <pageMargins left="0.7" right="0.7" top="0.75" bottom="0.75" header="0.3" footer="0.3"/>
  <ignoredErrors>
    <ignoredError sqref="C13:G13" formula="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F1563-E9C1-4BBE-A373-248B58AB3EBA}">
  <sheetPr codeName="Sheet6">
    <tabColor rgb="FF009C31"/>
  </sheetPr>
  <dimension ref="A1:P33"/>
  <sheetViews>
    <sheetView showGridLines="0" workbookViewId="0">
      <selection activeCell="J23" sqref="J23"/>
    </sheetView>
  </sheetViews>
  <sheetFormatPr defaultRowHeight="14.4" x14ac:dyDescent="0.3"/>
  <cols>
    <col min="1" max="1" width="18.109375" style="28" bestFit="1" customWidth="1"/>
    <col min="2" max="2" width="8.88671875" style="28"/>
    <col min="3" max="7" width="10.88671875" style="28" bestFit="1" customWidth="1"/>
    <col min="8" max="10" width="8.88671875" style="28"/>
    <col min="11" max="11" width="11.5546875" style="28" bestFit="1" customWidth="1"/>
    <col min="12" max="16384" width="8.88671875" style="28"/>
  </cols>
  <sheetData>
    <row r="1" spans="1:16" s="2" customFormat="1" x14ac:dyDescent="0.3">
      <c r="A1" s="161" t="s">
        <v>91</v>
      </c>
      <c r="B1" s="161"/>
      <c r="C1" s="161"/>
      <c r="D1" s="161"/>
      <c r="E1" s="161"/>
      <c r="F1" s="161"/>
      <c r="G1" s="161"/>
      <c r="H1" s="161"/>
      <c r="I1" s="161"/>
      <c r="J1" s="161"/>
      <c r="K1" s="161"/>
      <c r="L1" s="161"/>
      <c r="M1" s="161"/>
      <c r="N1" s="161"/>
      <c r="O1" s="161"/>
      <c r="P1" s="161"/>
    </row>
    <row r="2" spans="1:16" s="2" customFormat="1" x14ac:dyDescent="0.3">
      <c r="A2" s="161"/>
      <c r="B2" s="161"/>
      <c r="C2" s="161"/>
      <c r="D2" s="161"/>
      <c r="E2" s="161"/>
      <c r="F2" s="161"/>
      <c r="G2" s="161"/>
      <c r="H2" s="161"/>
      <c r="I2" s="161"/>
      <c r="J2" s="161"/>
      <c r="K2" s="161"/>
      <c r="L2" s="161"/>
      <c r="M2" s="161"/>
      <c r="N2" s="161"/>
      <c r="O2" s="161"/>
      <c r="P2" s="161"/>
    </row>
    <row r="3" spans="1:16" s="2" customFormat="1" x14ac:dyDescent="0.3">
      <c r="A3" s="1"/>
      <c r="B3" s="1"/>
      <c r="C3" s="1"/>
      <c r="D3" s="1"/>
      <c r="E3" s="1"/>
      <c r="F3" s="1"/>
      <c r="G3" s="1"/>
      <c r="H3" s="1"/>
      <c r="I3" s="1"/>
      <c r="J3" s="1"/>
      <c r="K3" s="1"/>
      <c r="L3" s="1"/>
      <c r="M3" s="1"/>
      <c r="N3" s="1"/>
      <c r="O3" s="1"/>
      <c r="P3" s="1"/>
    </row>
    <row r="4" spans="1:16" s="2" customFormat="1" x14ac:dyDescent="0.3">
      <c r="A4" s="1"/>
      <c r="B4" s="1"/>
      <c r="C4" s="66" t="s">
        <v>73</v>
      </c>
      <c r="D4" s="66" t="s">
        <v>74</v>
      </c>
      <c r="E4" s="66" t="s">
        <v>75</v>
      </c>
      <c r="F4" s="66" t="s">
        <v>76</v>
      </c>
      <c r="G4" s="66" t="s">
        <v>77</v>
      </c>
      <c r="H4" s="1"/>
      <c r="I4" s="1"/>
      <c r="J4" s="1"/>
      <c r="K4" s="1"/>
      <c r="L4" s="1"/>
      <c r="M4" s="1"/>
      <c r="N4" s="1"/>
      <c r="O4" s="1"/>
      <c r="P4" s="1"/>
    </row>
    <row r="5" spans="1:16" s="2" customFormat="1" ht="15.6" x14ac:dyDescent="0.3">
      <c r="A5" s="66"/>
      <c r="B5" s="66"/>
      <c r="C5" s="66"/>
      <c r="D5" s="66"/>
      <c r="E5" s="66"/>
      <c r="F5" s="1"/>
      <c r="G5" s="1"/>
      <c r="H5" s="1"/>
      <c r="I5" s="88" t="s">
        <v>107</v>
      </c>
      <c r="J5" s="83"/>
      <c r="K5" s="83"/>
      <c r="L5" s="83"/>
      <c r="M5" s="83"/>
      <c r="N5" s="83"/>
      <c r="O5" s="84"/>
      <c r="P5" s="1"/>
    </row>
    <row r="6" spans="1:16" s="2" customFormat="1" x14ac:dyDescent="0.3">
      <c r="A6" s="66"/>
      <c r="B6" s="66"/>
      <c r="C6" s="66"/>
      <c r="D6" s="66"/>
      <c r="E6" s="66"/>
      <c r="F6" s="1"/>
      <c r="G6" s="1"/>
      <c r="H6" s="1"/>
      <c r="I6" s="13"/>
      <c r="J6" s="15"/>
      <c r="K6" s="55"/>
      <c r="L6" s="55"/>
      <c r="M6" s="78"/>
      <c r="N6" s="78"/>
      <c r="O6" s="79"/>
      <c r="P6" s="1"/>
    </row>
    <row r="7" spans="1:16" x14ac:dyDescent="0.3">
      <c r="A7" s="5" t="s">
        <v>92</v>
      </c>
      <c r="B7" s="5"/>
      <c r="C7" s="68">
        <f ca="1">Operating_Model!C22</f>
        <v>22449.183774033019</v>
      </c>
      <c r="D7" s="68">
        <f ca="1">Operating_Model!D22</f>
        <v>23777.461914239353</v>
      </c>
      <c r="E7" s="68">
        <f ca="1">Operating_Model!E22</f>
        <v>25184.331901503883</v>
      </c>
      <c r="F7" s="68">
        <f ca="1">Operating_Model!F22</f>
        <v>26674.443875158908</v>
      </c>
      <c r="G7" s="68">
        <f ca="1">Operating_Model!G22</f>
        <v>28252.723114982211</v>
      </c>
      <c r="H7" s="5"/>
      <c r="I7" s="89" t="s">
        <v>101</v>
      </c>
      <c r="J7" s="15"/>
      <c r="K7" s="85">
        <f ca="1">C26</f>
        <v>409837.02053610573</v>
      </c>
      <c r="L7" s="55"/>
      <c r="M7" s="15"/>
      <c r="N7" s="15"/>
      <c r="O7" s="16"/>
      <c r="P7" s="5"/>
    </row>
    <row r="8" spans="1:16" x14ac:dyDescent="0.3">
      <c r="A8" s="5" t="s">
        <v>93</v>
      </c>
      <c r="B8" s="5"/>
      <c r="C8" s="51">
        <f ca="1">1/(1+Base_Assumptions!$C$36)^1</f>
        <v>0.90857375414060215</v>
      </c>
      <c r="D8" s="51">
        <f ca="1">1/(1+Base_Assumptions!$C$36)^2</f>
        <v>0.82550626671314742</v>
      </c>
      <c r="E8" s="51">
        <f ca="1">1/(1+Base_Assumptions!$C$36)^3</f>
        <v>0.75003332781415744</v>
      </c>
      <c r="F8" s="51">
        <f ca="1">1/(1+Base_Assumptions!$C$36)^4</f>
        <v>0.68146059638267797</v>
      </c>
      <c r="G8" s="51">
        <f ca="1">1/(1+Base_Assumptions!$C$36)^5</f>
        <v>0.61915721235430332</v>
      </c>
      <c r="H8" s="5"/>
      <c r="I8" s="89" t="s">
        <v>104</v>
      </c>
      <c r="J8" s="15"/>
      <c r="K8" s="85">
        <f ca="1">C28</f>
        <v>163688.46053610573</v>
      </c>
      <c r="L8" s="55"/>
      <c r="M8" s="15"/>
      <c r="N8" s="15"/>
      <c r="O8" s="16"/>
      <c r="P8" s="5"/>
    </row>
    <row r="9" spans="1:16" x14ac:dyDescent="0.3">
      <c r="A9" s="5" t="s">
        <v>94</v>
      </c>
      <c r="B9" s="5"/>
      <c r="C9" s="68">
        <f ca="1">C7*C8</f>
        <v>20396.739178965472</v>
      </c>
      <c r="D9" s="68">
        <f ca="1">D7*D8</f>
        <v>19628.443816737778</v>
      </c>
      <c r="E9" s="68">
        <f ca="1">E7*E8</f>
        <v>18889.088264861206</v>
      </c>
      <c r="F9" s="68">
        <f ca="1">F7*F8</f>
        <v>18177.58243134206</v>
      </c>
      <c r="G9" s="68">
        <f ca="1">G7*G8</f>
        <v>17492.877285290375</v>
      </c>
      <c r="H9" s="5"/>
      <c r="I9" s="89" t="s">
        <v>108</v>
      </c>
      <c r="J9" s="15"/>
      <c r="K9" s="85">
        <f ca="1">C30</f>
        <v>168.80901181509782</v>
      </c>
      <c r="L9" s="55"/>
      <c r="M9" s="15"/>
      <c r="N9" s="15"/>
      <c r="O9" s="16"/>
      <c r="P9" s="5"/>
    </row>
    <row r="10" spans="1:16" x14ac:dyDescent="0.3">
      <c r="A10" s="5"/>
      <c r="B10" s="5"/>
      <c r="C10" s="5"/>
      <c r="D10" s="5"/>
      <c r="E10" s="5"/>
      <c r="F10" s="5"/>
      <c r="G10" s="5"/>
      <c r="H10" s="5"/>
      <c r="I10" s="89"/>
      <c r="J10" s="15"/>
      <c r="K10" s="55"/>
      <c r="L10" s="55"/>
      <c r="M10" s="15"/>
      <c r="N10" s="15"/>
      <c r="O10" s="16"/>
      <c r="P10" s="5"/>
    </row>
    <row r="11" spans="1:16" x14ac:dyDescent="0.3">
      <c r="A11" s="160" t="s">
        <v>95</v>
      </c>
      <c r="B11" s="160"/>
      <c r="C11" s="160"/>
      <c r="D11" s="160"/>
      <c r="E11" s="160"/>
      <c r="F11" s="160"/>
      <c r="G11" s="160"/>
      <c r="H11" s="5"/>
      <c r="I11" s="89" t="s">
        <v>109</v>
      </c>
      <c r="J11" s="15"/>
      <c r="K11" s="86">
        <f ca="1">Base_Assumptions!C36</f>
        <v>0.1006261136674322</v>
      </c>
      <c r="L11" s="55"/>
      <c r="M11" s="15"/>
      <c r="N11" s="15"/>
      <c r="O11" s="16"/>
      <c r="P11" s="5"/>
    </row>
    <row r="12" spans="1:16" x14ac:dyDescent="0.3">
      <c r="A12" s="5"/>
      <c r="B12" s="5"/>
      <c r="C12" s="5"/>
      <c r="D12" s="5"/>
      <c r="E12" s="5"/>
      <c r="F12" s="5"/>
      <c r="G12" s="5"/>
      <c r="H12" s="5"/>
      <c r="I12" s="89" t="s">
        <v>110</v>
      </c>
      <c r="J12" s="15"/>
      <c r="K12" s="87">
        <f ca="1">Base_Assumptions!C40</f>
        <v>4.2764664541154407E-2</v>
      </c>
      <c r="L12" s="55"/>
      <c r="M12" s="15"/>
      <c r="N12" s="15"/>
      <c r="O12" s="16"/>
      <c r="P12" s="5"/>
    </row>
    <row r="13" spans="1:16" x14ac:dyDescent="0.3">
      <c r="A13" s="5" t="s">
        <v>96</v>
      </c>
      <c r="B13" s="5"/>
      <c r="C13" s="68">
        <f ca="1">G7*(1+Base_Assumptions!C40)</f>
        <v>29460.941341368543</v>
      </c>
      <c r="D13" s="5"/>
      <c r="E13" s="5"/>
      <c r="F13" s="5"/>
      <c r="G13" s="5"/>
      <c r="H13" s="5"/>
      <c r="I13" s="13"/>
      <c r="J13" s="15"/>
      <c r="K13" s="55"/>
      <c r="L13" s="55"/>
      <c r="M13" s="15"/>
      <c r="N13" s="15"/>
      <c r="O13" s="16"/>
      <c r="P13" s="5"/>
    </row>
    <row r="14" spans="1:16" x14ac:dyDescent="0.3">
      <c r="A14" s="5" t="s">
        <v>97</v>
      </c>
      <c r="B14" s="5"/>
      <c r="C14" s="68">
        <f ca="1">C13/(Base_Assumptions!C36-Base_Assumptions!C40)</f>
        <v>509163.5585737318</v>
      </c>
      <c r="D14" s="5"/>
      <c r="E14" s="5"/>
      <c r="F14" s="5"/>
      <c r="G14" s="5"/>
      <c r="H14" s="5"/>
      <c r="I14" s="13"/>
      <c r="J14" s="15"/>
      <c r="K14" s="55"/>
      <c r="L14" s="55"/>
      <c r="M14" s="15"/>
      <c r="N14" s="15"/>
      <c r="O14" s="16"/>
      <c r="P14" s="5"/>
    </row>
    <row r="15" spans="1:16" x14ac:dyDescent="0.3">
      <c r="A15" s="5" t="s">
        <v>93</v>
      </c>
      <c r="B15" s="5"/>
      <c r="C15" s="51">
        <f ca="1">1/(1+Base_Assumptions!C36)^Base_Assumptions!C11</f>
        <v>0.61915721235430332</v>
      </c>
      <c r="D15" s="5"/>
      <c r="E15" s="5"/>
      <c r="F15" s="5"/>
      <c r="G15" s="5"/>
      <c r="H15" s="5"/>
      <c r="I15" s="17"/>
      <c r="J15" s="18"/>
      <c r="K15" s="57"/>
      <c r="L15" s="57"/>
      <c r="M15" s="18"/>
      <c r="N15" s="18"/>
      <c r="O15" s="19"/>
      <c r="P15" s="5"/>
    </row>
    <row r="16" spans="1:16" x14ac:dyDescent="0.3">
      <c r="A16" s="5" t="s">
        <v>98</v>
      </c>
      <c r="B16" s="5"/>
      <c r="C16" s="68">
        <f ca="1">C14*C15</f>
        <v>315252.28955890884</v>
      </c>
      <c r="D16" s="5"/>
      <c r="E16" s="5"/>
      <c r="F16" s="5"/>
      <c r="G16" s="5"/>
      <c r="H16" s="5"/>
      <c r="I16" s="5"/>
      <c r="J16" s="5"/>
      <c r="K16" s="5"/>
      <c r="L16" s="5"/>
      <c r="M16" s="5"/>
      <c r="N16" s="5"/>
      <c r="O16" s="5"/>
      <c r="P16" s="5"/>
    </row>
    <row r="17" spans="1:16" x14ac:dyDescent="0.3">
      <c r="A17" s="5"/>
      <c r="B17" s="5"/>
      <c r="C17" s="5"/>
      <c r="D17" s="5"/>
      <c r="E17" s="5"/>
      <c r="F17" s="5"/>
      <c r="G17" s="5"/>
      <c r="H17" s="5"/>
      <c r="I17" s="5"/>
      <c r="J17" s="5"/>
      <c r="K17" s="5"/>
      <c r="L17" s="5"/>
      <c r="M17" s="5"/>
      <c r="N17" s="5"/>
      <c r="O17" s="5"/>
      <c r="P17" s="5"/>
    </row>
    <row r="18" spans="1:16" x14ac:dyDescent="0.3">
      <c r="A18" s="160" t="s">
        <v>99</v>
      </c>
      <c r="B18" s="160"/>
      <c r="C18" s="160"/>
      <c r="D18" s="160"/>
      <c r="E18" s="160"/>
      <c r="F18" s="160"/>
      <c r="G18" s="160"/>
      <c r="H18" s="5"/>
      <c r="I18" s="5"/>
      <c r="J18" s="5"/>
      <c r="K18" s="5"/>
      <c r="L18" s="5"/>
      <c r="M18" s="5"/>
      <c r="N18" s="5"/>
      <c r="O18" s="5"/>
      <c r="P18" s="5"/>
    </row>
    <row r="19" spans="1:16" x14ac:dyDescent="0.3">
      <c r="A19" s="5"/>
      <c r="B19" s="5"/>
      <c r="C19" s="5"/>
      <c r="D19" s="5"/>
      <c r="E19" s="5"/>
      <c r="F19" s="5"/>
      <c r="G19" s="5"/>
      <c r="H19" s="5"/>
      <c r="I19" s="5"/>
      <c r="J19" s="5"/>
      <c r="K19" s="5"/>
      <c r="L19" s="5"/>
      <c r="M19" s="5"/>
      <c r="N19" s="5"/>
      <c r="O19" s="5"/>
      <c r="P19" s="5"/>
    </row>
    <row r="20" spans="1:16" x14ac:dyDescent="0.3">
      <c r="A20" s="5" t="s">
        <v>100</v>
      </c>
      <c r="B20" s="5"/>
      <c r="C20" s="68">
        <f ca="1">SUM(C9:G9)</f>
        <v>94584.730977196887</v>
      </c>
      <c r="D20" s="5"/>
      <c r="E20" s="5"/>
      <c r="F20" s="5"/>
      <c r="G20" s="5"/>
      <c r="H20" s="5"/>
      <c r="I20" s="5"/>
      <c r="J20" s="5"/>
      <c r="K20" s="5"/>
      <c r="L20" s="5"/>
      <c r="M20" s="5"/>
      <c r="N20" s="5"/>
      <c r="O20" s="5"/>
      <c r="P20" s="5"/>
    </row>
    <row r="21" spans="1:16" x14ac:dyDescent="0.3">
      <c r="A21" s="5" t="s">
        <v>98</v>
      </c>
      <c r="B21" s="5"/>
      <c r="C21" s="68">
        <f ca="1">C16</f>
        <v>315252.28955890884</v>
      </c>
      <c r="D21" s="5"/>
      <c r="E21" s="5"/>
      <c r="F21" s="5"/>
      <c r="G21" s="5"/>
      <c r="H21" s="5"/>
      <c r="I21" s="5"/>
      <c r="J21" s="5"/>
      <c r="K21" s="5"/>
      <c r="L21" s="5"/>
      <c r="M21" s="5"/>
      <c r="N21" s="5"/>
      <c r="O21" s="5"/>
      <c r="P21" s="5"/>
    </row>
    <row r="22" spans="1:16" x14ac:dyDescent="0.3">
      <c r="A22" s="5" t="s">
        <v>101</v>
      </c>
      <c r="B22" s="5"/>
      <c r="C22" s="68">
        <f ca="1">C20+C21</f>
        <v>409837.02053610573</v>
      </c>
      <c r="D22" s="5"/>
      <c r="E22" s="5"/>
      <c r="F22" s="5"/>
      <c r="G22" s="5"/>
      <c r="H22" s="5"/>
      <c r="I22" s="5"/>
      <c r="J22" s="5"/>
      <c r="K22" s="5"/>
      <c r="L22" s="5"/>
      <c r="M22" s="5"/>
      <c r="N22" s="5"/>
      <c r="O22" s="5"/>
      <c r="P22" s="5"/>
    </row>
    <row r="23" spans="1:16" x14ac:dyDescent="0.3">
      <c r="A23" s="5"/>
      <c r="B23" s="5"/>
      <c r="C23" s="5"/>
      <c r="D23" s="5"/>
      <c r="E23" s="5"/>
      <c r="F23" s="5"/>
      <c r="G23" s="5"/>
      <c r="H23" s="5"/>
      <c r="I23" s="5"/>
      <c r="J23" s="5"/>
      <c r="K23" s="5"/>
      <c r="L23" s="5"/>
      <c r="M23" s="5"/>
      <c r="N23" s="5"/>
      <c r="O23" s="5"/>
      <c r="P23" s="5"/>
    </row>
    <row r="24" spans="1:16" x14ac:dyDescent="0.3">
      <c r="A24" s="160" t="s">
        <v>102</v>
      </c>
      <c r="B24" s="160"/>
      <c r="C24" s="160"/>
      <c r="D24" s="160"/>
      <c r="E24" s="160"/>
      <c r="F24" s="160"/>
      <c r="G24" s="160"/>
      <c r="H24" s="5"/>
      <c r="I24" s="5"/>
      <c r="J24" s="5"/>
      <c r="K24" s="5"/>
      <c r="L24" s="5"/>
      <c r="M24" s="5"/>
      <c r="N24" s="5"/>
      <c r="O24" s="5"/>
      <c r="P24" s="5"/>
    </row>
    <row r="25" spans="1:16" x14ac:dyDescent="0.3">
      <c r="A25" s="5"/>
      <c r="B25" s="5"/>
      <c r="C25" s="5"/>
      <c r="D25" s="5"/>
      <c r="E25" s="5"/>
      <c r="F25" s="5"/>
      <c r="G25" s="5"/>
      <c r="H25" s="5"/>
      <c r="I25" s="5"/>
      <c r="J25" s="5"/>
      <c r="K25" s="5"/>
      <c r="L25" s="5"/>
      <c r="M25" s="5"/>
      <c r="N25" s="5"/>
      <c r="O25" s="5"/>
      <c r="P25" s="5"/>
    </row>
    <row r="26" spans="1:16" x14ac:dyDescent="0.3">
      <c r="A26" s="5" t="s">
        <v>101</v>
      </c>
      <c r="B26" s="5"/>
      <c r="C26" s="68">
        <f ca="1">C22</f>
        <v>409837.02053610573</v>
      </c>
      <c r="D26" s="5"/>
      <c r="E26" s="5"/>
      <c r="F26" s="5"/>
      <c r="G26" s="5"/>
      <c r="H26" s="5"/>
      <c r="I26" s="5"/>
      <c r="J26" s="5"/>
      <c r="K26" s="5"/>
      <c r="L26" s="5"/>
      <c r="M26" s="5"/>
      <c r="N26" s="5"/>
      <c r="O26" s="5"/>
      <c r="P26" s="5"/>
    </row>
    <row r="27" spans="1:16" x14ac:dyDescent="0.3">
      <c r="A27" s="5" t="s">
        <v>103</v>
      </c>
      <c r="B27" s="5"/>
      <c r="C27" s="67">
        <f>201053.88+46521.24-1426.56</f>
        <v>246148.56</v>
      </c>
      <c r="D27" s="5"/>
      <c r="E27" s="5"/>
      <c r="F27" s="5"/>
      <c r="G27" s="5"/>
      <c r="H27" s="5"/>
      <c r="I27" s="5"/>
      <c r="J27" s="5"/>
      <c r="K27" s="5"/>
      <c r="L27" s="5"/>
      <c r="M27" s="5"/>
      <c r="N27" s="5"/>
      <c r="O27" s="5"/>
      <c r="P27" s="5"/>
    </row>
    <row r="28" spans="1:16" x14ac:dyDescent="0.3">
      <c r="A28" s="5" t="s">
        <v>104</v>
      </c>
      <c r="B28" s="5"/>
      <c r="C28" s="68">
        <f ca="1">C26-C27</f>
        <v>163688.46053610573</v>
      </c>
      <c r="D28" s="5"/>
      <c r="E28" s="5"/>
      <c r="F28" s="5"/>
      <c r="G28" s="5"/>
      <c r="H28" s="5"/>
      <c r="I28" s="5"/>
      <c r="J28" s="5"/>
      <c r="K28" s="5"/>
      <c r="L28" s="5"/>
      <c r="M28" s="5"/>
      <c r="N28" s="5"/>
      <c r="O28" s="5"/>
      <c r="P28" s="5"/>
    </row>
    <row r="29" spans="1:16" x14ac:dyDescent="0.3">
      <c r="A29" s="5" t="s">
        <v>105</v>
      </c>
      <c r="B29" s="5"/>
      <c r="C29" s="67" cm="1">
        <f t="array" aca="1" ref="C29" ca="1">_FV(Control_Panel!B6,"Shares outstanding",TRUE)/10000000</f>
        <v>969.66660000000002</v>
      </c>
      <c r="D29" s="5"/>
      <c r="E29" s="5"/>
      <c r="F29" s="5"/>
      <c r="G29" s="5"/>
      <c r="H29" s="5"/>
      <c r="I29" s="5"/>
      <c r="J29" s="5"/>
      <c r="K29" s="5"/>
      <c r="L29" s="5"/>
      <c r="M29" s="5"/>
      <c r="N29" s="5"/>
      <c r="O29" s="5"/>
      <c r="P29" s="5"/>
    </row>
    <row r="30" spans="1:16" x14ac:dyDescent="0.3">
      <c r="A30" s="5" t="s">
        <v>106</v>
      </c>
      <c r="B30" s="5"/>
      <c r="C30" s="67">
        <f ca="1">C28/C29</f>
        <v>168.80901181509782</v>
      </c>
      <c r="D30" s="5"/>
      <c r="E30" s="5"/>
      <c r="F30" s="5"/>
      <c r="G30" s="5"/>
      <c r="H30" s="5"/>
      <c r="I30" s="5"/>
      <c r="J30" s="5"/>
      <c r="K30" s="5"/>
      <c r="L30" s="5"/>
      <c r="M30" s="5"/>
      <c r="N30" s="5"/>
      <c r="O30" s="5"/>
      <c r="P30" s="5"/>
    </row>
    <row r="31" spans="1:16" x14ac:dyDescent="0.3">
      <c r="A31" s="5"/>
      <c r="B31" s="5"/>
      <c r="C31" s="5"/>
      <c r="D31" s="5"/>
      <c r="E31" s="5"/>
      <c r="F31" s="5"/>
      <c r="G31" s="5"/>
      <c r="H31" s="5"/>
      <c r="I31" s="5"/>
      <c r="J31" s="5"/>
      <c r="K31" s="5"/>
      <c r="L31" s="5"/>
      <c r="M31" s="5"/>
      <c r="N31" s="5"/>
      <c r="O31" s="5"/>
      <c r="P31" s="5"/>
    </row>
    <row r="32" spans="1:16" x14ac:dyDescent="0.3">
      <c r="A32" s="5"/>
      <c r="B32" s="5"/>
      <c r="C32" s="5"/>
      <c r="D32" s="5"/>
      <c r="E32" s="5"/>
      <c r="F32" s="5"/>
      <c r="G32" s="5"/>
      <c r="H32" s="5"/>
      <c r="I32" s="5"/>
      <c r="J32" s="5"/>
      <c r="K32" s="5"/>
      <c r="L32" s="5"/>
      <c r="M32" s="5"/>
      <c r="N32" s="5"/>
      <c r="O32" s="5"/>
      <c r="P32" s="5"/>
    </row>
    <row r="33" spans="1:16" x14ac:dyDescent="0.3">
      <c r="A33" s="5"/>
      <c r="B33" s="5"/>
      <c r="C33" s="5"/>
      <c r="D33" s="5"/>
      <c r="E33" s="5"/>
      <c r="F33" s="5"/>
      <c r="G33" s="5"/>
      <c r="H33" s="5"/>
      <c r="I33" s="5"/>
      <c r="J33" s="5"/>
      <c r="K33" s="5"/>
      <c r="L33" s="5"/>
      <c r="M33" s="5"/>
      <c r="N33" s="5"/>
      <c r="O33" s="5"/>
      <c r="P33" s="5"/>
    </row>
  </sheetData>
  <mergeCells count="4">
    <mergeCell ref="A1:P2"/>
    <mergeCell ref="A11:G11"/>
    <mergeCell ref="A18:G18"/>
    <mergeCell ref="A24:G2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2AF811-25E8-4CF1-83F2-3BB41841957A}">
  <sheetPr codeName="Sheet7">
    <tabColor rgb="FF009C31"/>
  </sheetPr>
  <dimension ref="A1:P29"/>
  <sheetViews>
    <sheetView showGridLines="0" tabSelected="1" workbookViewId="0">
      <selection activeCell="J21" sqref="J21"/>
    </sheetView>
  </sheetViews>
  <sheetFormatPr defaultRowHeight="14.4" x14ac:dyDescent="0.3"/>
  <cols>
    <col min="1" max="1" width="25" style="5" bestFit="1" customWidth="1"/>
    <col min="2" max="16384" width="8.88671875" style="5"/>
  </cols>
  <sheetData>
    <row r="1" spans="1:16" s="1" customFormat="1" x14ac:dyDescent="0.3">
      <c r="A1" s="161" t="s">
        <v>111</v>
      </c>
      <c r="B1" s="161"/>
      <c r="C1" s="161"/>
      <c r="D1" s="161"/>
      <c r="E1" s="161"/>
      <c r="F1" s="161"/>
      <c r="G1" s="161"/>
      <c r="H1" s="161"/>
      <c r="I1" s="161"/>
      <c r="J1" s="161"/>
      <c r="K1" s="161"/>
      <c r="L1" s="161"/>
      <c r="M1" s="161"/>
      <c r="N1" s="161"/>
      <c r="O1" s="161"/>
      <c r="P1" s="161"/>
    </row>
    <row r="2" spans="1:16" s="1" customFormat="1" x14ac:dyDescent="0.3">
      <c r="A2" s="161"/>
      <c r="B2" s="161"/>
      <c r="C2" s="161"/>
      <c r="D2" s="161"/>
      <c r="E2" s="161"/>
      <c r="F2" s="161"/>
      <c r="G2" s="161"/>
      <c r="H2" s="161"/>
      <c r="I2" s="161"/>
      <c r="J2" s="161"/>
      <c r="K2" s="161"/>
      <c r="L2" s="161"/>
      <c r="M2" s="161"/>
      <c r="N2" s="161"/>
      <c r="O2" s="161"/>
      <c r="P2" s="161"/>
    </row>
    <row r="3" spans="1:16" s="1" customFormat="1" x14ac:dyDescent="0.3"/>
    <row r="4" spans="1:16" s="1" customFormat="1" x14ac:dyDescent="0.3">
      <c r="A4" s="160" t="s">
        <v>112</v>
      </c>
      <c r="B4" s="160"/>
      <c r="C4" s="160"/>
      <c r="D4" s="160"/>
      <c r="E4" s="160"/>
      <c r="F4" s="160"/>
      <c r="G4" s="160"/>
      <c r="H4" s="160"/>
      <c r="I4" s="160"/>
      <c r="J4" s="160"/>
      <c r="K4" s="160"/>
      <c r="L4" s="160"/>
      <c r="M4" s="160"/>
      <c r="N4" s="160"/>
      <c r="O4" s="160"/>
    </row>
    <row r="6" spans="1:16" x14ac:dyDescent="0.3">
      <c r="A6" s="9" t="s">
        <v>49</v>
      </c>
      <c r="B6" s="11"/>
      <c r="C6" s="90">
        <f>Base_Assumptions!C32</f>
        <v>6.6000000000000003E-2</v>
      </c>
      <c r="I6" s="99" t="s">
        <v>127</v>
      </c>
      <c r="J6" s="11"/>
      <c r="K6" s="11"/>
      <c r="L6" s="11"/>
      <c r="M6" s="11"/>
      <c r="N6" s="11"/>
      <c r="O6" s="12"/>
    </row>
    <row r="7" spans="1:16" x14ac:dyDescent="0.3">
      <c r="A7" s="13" t="s">
        <v>50</v>
      </c>
      <c r="B7" s="15"/>
      <c r="C7" s="91">
        <f>Base_Assumptions!C33</f>
        <v>7.2599999999999998E-2</v>
      </c>
      <c r="I7" s="89" t="s">
        <v>126</v>
      </c>
      <c r="J7" s="15"/>
      <c r="K7" s="102">
        <f ca="1">C9</f>
        <v>0.14843729999999999</v>
      </c>
      <c r="L7" s="15"/>
      <c r="M7" s="15"/>
      <c r="N7" s="15"/>
      <c r="O7" s="16"/>
    </row>
    <row r="8" spans="1:16" x14ac:dyDescent="0.3">
      <c r="A8" s="13" t="s">
        <v>51</v>
      </c>
      <c r="B8" s="15"/>
      <c r="C8" s="92">
        <f ca="1">Base_Assumptions!C34</f>
        <v>1.1355</v>
      </c>
      <c r="I8" s="89" t="s">
        <v>128</v>
      </c>
      <c r="J8" s="15"/>
      <c r="K8" s="102">
        <f>C18</f>
        <v>3.9891134860401162E-2</v>
      </c>
      <c r="L8" s="15"/>
      <c r="M8" s="15"/>
      <c r="N8" s="15"/>
      <c r="O8" s="16"/>
    </row>
    <row r="9" spans="1:16" x14ac:dyDescent="0.3">
      <c r="A9" s="13" t="s">
        <v>52</v>
      </c>
      <c r="B9" s="15"/>
      <c r="C9" s="93">
        <f ca="1">Base_Assumptions!C35</f>
        <v>0.14843729999999999</v>
      </c>
      <c r="I9" s="89" t="s">
        <v>129</v>
      </c>
      <c r="J9" s="15"/>
      <c r="K9" s="102">
        <f ca="1">C22</f>
        <v>0.44064734538825467</v>
      </c>
      <c r="L9" s="15"/>
      <c r="M9" s="15"/>
      <c r="N9" s="15"/>
      <c r="O9" s="16"/>
    </row>
    <row r="10" spans="1:16" x14ac:dyDescent="0.3">
      <c r="A10" s="17" t="s">
        <v>113</v>
      </c>
      <c r="B10" s="57"/>
      <c r="C10" s="19"/>
      <c r="I10" s="89" t="s">
        <v>130</v>
      </c>
      <c r="J10" s="15"/>
      <c r="K10" s="102">
        <f ca="1">C23</f>
        <v>0.55935265461174533</v>
      </c>
      <c r="L10" s="15"/>
      <c r="M10" s="15"/>
      <c r="N10" s="15"/>
      <c r="O10" s="16"/>
    </row>
    <row r="11" spans="1:16" x14ac:dyDescent="0.3">
      <c r="I11" s="13"/>
      <c r="J11" s="15"/>
      <c r="K11" s="15"/>
      <c r="L11" s="15"/>
      <c r="M11" s="15"/>
      <c r="N11" s="15"/>
      <c r="O11" s="16"/>
    </row>
    <row r="12" spans="1:16" x14ac:dyDescent="0.3">
      <c r="A12" s="160" t="s">
        <v>114</v>
      </c>
      <c r="B12" s="160"/>
      <c r="C12" s="160"/>
      <c r="D12" s="160"/>
      <c r="E12" s="160"/>
      <c r="F12" s="160"/>
      <c r="G12" s="160"/>
      <c r="H12" s="114"/>
      <c r="I12" s="100"/>
      <c r="J12" s="39"/>
      <c r="K12" s="39"/>
      <c r="L12" s="39"/>
      <c r="M12" s="39"/>
      <c r="N12" s="39"/>
      <c r="O12" s="101"/>
    </row>
    <row r="13" spans="1:16" x14ac:dyDescent="0.3">
      <c r="I13" s="89" t="s">
        <v>109</v>
      </c>
      <c r="J13" s="15"/>
      <c r="K13" s="103">
        <f ca="1">C29</f>
        <v>0.10059999999999999</v>
      </c>
      <c r="L13" s="15"/>
      <c r="M13" s="15"/>
      <c r="N13" s="15"/>
      <c r="O13" s="16"/>
    </row>
    <row r="14" spans="1:16" x14ac:dyDescent="0.3">
      <c r="A14" s="9" t="s">
        <v>115</v>
      </c>
      <c r="B14" s="11"/>
      <c r="C14" s="90">
        <v>5.3188179813868211E-2</v>
      </c>
      <c r="I14" s="13"/>
      <c r="J14" s="15"/>
      <c r="K14" s="15"/>
      <c r="L14" s="15"/>
      <c r="M14" s="15"/>
      <c r="N14" s="15"/>
      <c r="O14" s="16"/>
    </row>
    <row r="15" spans="1:16" x14ac:dyDescent="0.3">
      <c r="A15" s="13" t="s">
        <v>116</v>
      </c>
      <c r="B15" s="15"/>
      <c r="C15" s="91">
        <f>Base_Assumptions!C18</f>
        <v>0.25</v>
      </c>
      <c r="I15" s="13"/>
      <c r="J15" s="15"/>
      <c r="K15" s="15"/>
      <c r="L15" s="15"/>
      <c r="M15" s="15"/>
      <c r="N15" s="15"/>
      <c r="O15" s="16"/>
    </row>
    <row r="16" spans="1:16" x14ac:dyDescent="0.3">
      <c r="A16" s="13" t="s">
        <v>117</v>
      </c>
      <c r="B16" s="15"/>
      <c r="C16" s="30">
        <f>C14*(1-C15)</f>
        <v>3.9891134860401162E-2</v>
      </c>
      <c r="I16" s="17"/>
      <c r="J16" s="18"/>
      <c r="K16" s="18"/>
      <c r="L16" s="18"/>
      <c r="M16" s="18"/>
      <c r="N16" s="18"/>
      <c r="O16" s="19"/>
    </row>
    <row r="17" spans="1:15" x14ac:dyDescent="0.3">
      <c r="A17" s="13" t="s">
        <v>118</v>
      </c>
      <c r="B17" s="15"/>
      <c r="C17" s="30"/>
    </row>
    <row r="18" spans="1:15" x14ac:dyDescent="0.3">
      <c r="A18" s="17" t="s">
        <v>119</v>
      </c>
      <c r="B18" s="18"/>
      <c r="C18" s="94">
        <f>C16+C17</f>
        <v>3.9891134860401162E-2</v>
      </c>
    </row>
    <row r="20" spans="1:15" x14ac:dyDescent="0.3">
      <c r="A20" s="160" t="s">
        <v>120</v>
      </c>
      <c r="B20" s="160"/>
      <c r="C20" s="160"/>
      <c r="D20" s="160"/>
      <c r="E20" s="160"/>
      <c r="F20" s="160"/>
      <c r="G20" s="160"/>
      <c r="H20" s="160"/>
      <c r="I20" s="160"/>
      <c r="J20" s="160"/>
      <c r="K20" s="160"/>
      <c r="L20" s="160"/>
      <c r="M20" s="160"/>
      <c r="N20" s="160"/>
      <c r="O20" s="160"/>
    </row>
    <row r="22" spans="1:15" x14ac:dyDescent="0.3">
      <c r="A22" s="9" t="s">
        <v>121</v>
      </c>
      <c r="B22" s="11"/>
      <c r="C22" s="90" cm="1">
        <f t="array" aca="1" ref="C22" ca="1">(201053.88+46521.24)/((_FV(Control_Panel!B6,"Market cap",TRUE)/10000000)+201053.88+46521.24)</f>
        <v>0.44064734538825467</v>
      </c>
    </row>
    <row r="23" spans="1:15" x14ac:dyDescent="0.3">
      <c r="A23" s="13" t="s">
        <v>122</v>
      </c>
      <c r="B23" s="15"/>
      <c r="C23" s="96">
        <f ca="1">1-C22</f>
        <v>0.55935265461174533</v>
      </c>
    </row>
    <row r="24" spans="1:15" x14ac:dyDescent="0.3">
      <c r="A24" s="17" t="s">
        <v>123</v>
      </c>
      <c r="B24" s="18"/>
      <c r="C24" s="97">
        <f ca="1">SUM(C22:C23)</f>
        <v>1</v>
      </c>
    </row>
    <row r="26" spans="1:15" x14ac:dyDescent="0.3">
      <c r="A26" s="160" t="s">
        <v>124</v>
      </c>
      <c r="B26" s="160"/>
      <c r="C26" s="160"/>
      <c r="D26" s="160"/>
      <c r="E26" s="160"/>
      <c r="F26" s="160"/>
      <c r="G26" s="160"/>
      <c r="H26" s="160"/>
      <c r="I26" s="160"/>
      <c r="J26" s="160"/>
      <c r="K26" s="160"/>
      <c r="L26" s="160"/>
      <c r="M26" s="160"/>
      <c r="N26" s="160"/>
      <c r="O26" s="160"/>
    </row>
    <row r="28" spans="1:15" x14ac:dyDescent="0.3">
      <c r="A28" s="9" t="s">
        <v>27</v>
      </c>
      <c r="B28" s="11"/>
      <c r="C28" s="98">
        <f ca="1">(C9*C23)+(C18*C22)</f>
        <v>0.10060672047916067</v>
      </c>
    </row>
    <row r="29" spans="1:15" x14ac:dyDescent="0.3">
      <c r="A29" s="17" t="s">
        <v>125</v>
      </c>
      <c r="B29" s="18"/>
      <c r="C29" s="94">
        <f ca="1">ROUND(C28,4)</f>
        <v>0.10059999999999999</v>
      </c>
    </row>
  </sheetData>
  <mergeCells count="5">
    <mergeCell ref="A1:P2"/>
    <mergeCell ref="A4:O4"/>
    <mergeCell ref="A20:O20"/>
    <mergeCell ref="A26:O26"/>
    <mergeCell ref="A12:G12"/>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910AA2-04AD-47B4-B3D2-A9171B47BE14}">
  <sheetPr codeName="Sheet8">
    <tabColor rgb="FF009C31"/>
  </sheetPr>
  <dimension ref="A1:P1518"/>
  <sheetViews>
    <sheetView showGridLines="0" workbookViewId="0">
      <selection activeCell="B1518" sqref="B1518:I1518"/>
    </sheetView>
  </sheetViews>
  <sheetFormatPr defaultRowHeight="14.4" x14ac:dyDescent="0.3"/>
  <cols>
    <col min="1" max="1" width="23.77734375" style="23" bestFit="1" customWidth="1"/>
    <col min="2" max="2" width="10.44140625" style="52" bestFit="1" customWidth="1"/>
    <col min="3" max="3" width="8.88671875" style="52" bestFit="1" customWidth="1"/>
    <col min="4" max="4" width="11.21875" style="52" bestFit="1" customWidth="1"/>
    <col min="5" max="5" width="7.88671875" style="52" bestFit="1" customWidth="1"/>
    <col min="6" max="6" width="12.88671875" style="52" bestFit="1" customWidth="1"/>
    <col min="7" max="7" width="12.44140625" style="52" bestFit="1" customWidth="1"/>
    <col min="8" max="8" width="12.6640625" style="52" bestFit="1" customWidth="1"/>
    <col min="9" max="9" width="12.44140625" style="119" bestFit="1" customWidth="1"/>
    <col min="10" max="11" width="19.33203125" style="5" bestFit="1" customWidth="1"/>
    <col min="12" max="15" width="8.88671875" style="5"/>
    <col min="16" max="16" width="8.88671875" style="28"/>
    <col min="17" max="16384" width="8.88671875" style="5"/>
  </cols>
  <sheetData>
    <row r="1" spans="1:16" s="1" customFormat="1" x14ac:dyDescent="0.3">
      <c r="A1" s="161" t="s">
        <v>131</v>
      </c>
      <c r="B1" s="161"/>
      <c r="C1" s="161"/>
      <c r="D1" s="161"/>
      <c r="E1" s="161"/>
      <c r="F1" s="161"/>
      <c r="G1" s="161"/>
      <c r="H1" s="161"/>
      <c r="I1" s="161"/>
      <c r="J1" s="161"/>
      <c r="K1" s="161"/>
      <c r="L1" s="161"/>
      <c r="M1" s="161"/>
      <c r="N1" s="161"/>
      <c r="O1" s="161"/>
      <c r="P1" s="161"/>
    </row>
    <row r="2" spans="1:16" s="1" customFormat="1" x14ac:dyDescent="0.3">
      <c r="A2" s="161"/>
      <c r="B2" s="161"/>
      <c r="C2" s="161"/>
      <c r="D2" s="161"/>
      <c r="E2" s="161"/>
      <c r="F2" s="161"/>
      <c r="G2" s="161"/>
      <c r="H2" s="161"/>
      <c r="I2" s="161"/>
      <c r="J2" s="161"/>
      <c r="K2" s="161"/>
      <c r="L2" s="161"/>
      <c r="M2" s="161"/>
      <c r="N2" s="161"/>
      <c r="O2" s="161"/>
      <c r="P2" s="161"/>
    </row>
    <row r="3" spans="1:16" s="1" customFormat="1" x14ac:dyDescent="0.3">
      <c r="A3" s="40"/>
    </row>
    <row r="4" spans="1:16" s="1" customFormat="1" x14ac:dyDescent="0.3">
      <c r="A4" s="160" t="s">
        <v>150</v>
      </c>
      <c r="B4" s="160"/>
      <c r="C4" s="160"/>
      <c r="D4" s="160"/>
      <c r="E4" s="160"/>
      <c r="F4" s="160"/>
      <c r="G4" s="160"/>
      <c r="H4" s="160"/>
      <c r="I4" s="160"/>
      <c r="J4" s="160"/>
      <c r="K4" s="160"/>
      <c r="L4" s="160"/>
      <c r="M4" s="160"/>
      <c r="N4" s="160"/>
      <c r="O4" s="160"/>
      <c r="P4" s="160"/>
    </row>
    <row r="5" spans="1:16" x14ac:dyDescent="0.3">
      <c r="A5" s="40"/>
      <c r="B5" s="1"/>
      <c r="C5" s="1"/>
      <c r="D5" s="1"/>
      <c r="E5" s="1"/>
      <c r="F5" s="1"/>
      <c r="G5" s="1"/>
      <c r="H5" s="1"/>
      <c r="I5" s="1"/>
      <c r="J5" s="37" t="s">
        <v>142</v>
      </c>
      <c r="K5" s="117">
        <v>1</v>
      </c>
      <c r="P5" s="5"/>
    </row>
    <row r="6" spans="1:16" x14ac:dyDescent="0.3">
      <c r="A6" s="105" t="s">
        <v>60</v>
      </c>
      <c r="B6" s="81" t="s">
        <v>62</v>
      </c>
      <c r="C6" s="81" t="s">
        <v>63</v>
      </c>
      <c r="D6" s="81" t="s">
        <v>132</v>
      </c>
      <c r="E6" s="81" t="s">
        <v>133</v>
      </c>
      <c r="F6" s="82" t="s">
        <v>134</v>
      </c>
      <c r="G6" s="1"/>
      <c r="H6" s="1"/>
      <c r="I6" s="1"/>
      <c r="J6" s="13" t="s">
        <v>143</v>
      </c>
      <c r="K6" s="91" cm="1">
        <f t="array" aca="1" ref="K6" ca="1">INDEX(B:B,K5+17)</f>
        <v>5.9168215360362278E-2</v>
      </c>
      <c r="P6" s="5"/>
    </row>
    <row r="7" spans="1:16" x14ac:dyDescent="0.3">
      <c r="A7" s="106" t="s">
        <v>24</v>
      </c>
      <c r="B7" s="23" t="str">
        <f>Drivers_Distributions!C10</f>
        <v>Triangular</v>
      </c>
      <c r="C7" s="61">
        <f>Drivers_Distributions!D10</f>
        <v>0.04</v>
      </c>
      <c r="D7" s="61">
        <f>Drivers_Distributions!E10</f>
        <v>6.0499999999999998E-2</v>
      </c>
      <c r="E7" s="61">
        <f>Drivers_Distributions!F10</f>
        <v>0.09</v>
      </c>
      <c r="F7" s="59">
        <f t="shared" ref="F7:F14" ca="1" si="0">IF(B7="Normal",_xlfn.NORM.INV(RAND(),D7,E7),IF(RAND()&lt;(D7-C7)/(E7-C7),C7+SQRT(RAND()*(E7-C7)*(D7-C7)),E7-SQRT((1-RAND())*(E7-C7)*(E7-D7))))</f>
        <v>5.9168215360362278E-2</v>
      </c>
      <c r="G7" s="5"/>
      <c r="H7" s="5"/>
      <c r="I7" s="5"/>
      <c r="J7" s="13" t="s">
        <v>144</v>
      </c>
      <c r="K7" s="91" cm="1">
        <f t="array" aca="1" ref="K7" ca="1">INDEX(C:C,K5+17)</f>
        <v>0.28083782263181095</v>
      </c>
      <c r="P7" s="5"/>
    </row>
    <row r="8" spans="1:16" x14ac:dyDescent="0.3">
      <c r="A8" s="106" t="str">
        <f>Drivers_Distributions!A11</f>
        <v>EBITDA Margin (%)</v>
      </c>
      <c r="B8" s="23" t="str">
        <f>Drivers_Distributions!C11</f>
        <v>Triangular</v>
      </c>
      <c r="C8" s="61">
        <f>Drivers_Distributions!D11</f>
        <v>0.24</v>
      </c>
      <c r="D8" s="61">
        <f>Drivers_Distributions!E11</f>
        <v>0.29049999999999998</v>
      </c>
      <c r="E8" s="61">
        <f>Drivers_Distributions!F11</f>
        <v>0.32</v>
      </c>
      <c r="F8" s="59">
        <f t="shared" ca="1" si="0"/>
        <v>0.28083782263181095</v>
      </c>
      <c r="G8" s="5"/>
      <c r="H8" s="5"/>
      <c r="I8" s="5"/>
      <c r="J8" s="13" t="s">
        <v>145</v>
      </c>
      <c r="K8" s="91" cm="1">
        <f t="array" aca="1" ref="K8" ca="1">INDEX(D:D,K5+17)</f>
        <v>0.50206393140696104</v>
      </c>
      <c r="P8" s="5"/>
    </row>
    <row r="9" spans="1:16" x14ac:dyDescent="0.3">
      <c r="A9" s="106" t="str">
        <f>Drivers_Distributions!A12</f>
        <v>Depreciation (% Rev)</v>
      </c>
      <c r="B9" s="23" t="str">
        <f>Drivers_Distributions!C12</f>
        <v>Triangular</v>
      </c>
      <c r="C9" s="61">
        <f>Drivers_Distributions!D12</f>
        <v>0.08</v>
      </c>
      <c r="D9" s="61">
        <f>Drivers_Distributions!E12</f>
        <v>0.10131875386404837</v>
      </c>
      <c r="E9" s="61">
        <f>Drivers_Distributions!F12</f>
        <v>0.12</v>
      </c>
      <c r="F9" s="59">
        <f t="shared" ca="1" si="0"/>
        <v>0.10768082845492888</v>
      </c>
      <c r="G9" s="5"/>
      <c r="H9" s="5"/>
      <c r="I9" s="5"/>
      <c r="J9" s="13" t="s">
        <v>146</v>
      </c>
      <c r="K9" s="91" cm="1">
        <f t="array" aca="1" ref="K9" ca="1">INDEX(E:E,K5+17)</f>
        <v>0.19984056713641812</v>
      </c>
      <c r="P9" s="5"/>
    </row>
    <row r="10" spans="1:16" x14ac:dyDescent="0.3">
      <c r="A10" s="106" t="str">
        <f>Drivers_Distributions!A13</f>
        <v>Reinvestment Rate (% EBIT)</v>
      </c>
      <c r="B10" s="23" t="str">
        <f>Drivers_Distributions!C13</f>
        <v>Triangular</v>
      </c>
      <c r="C10" s="61">
        <f>Drivers_Distributions!D13</f>
        <v>0.4</v>
      </c>
      <c r="D10" s="61">
        <f>Drivers_Distributions!E13</f>
        <v>0.45600000000000002</v>
      </c>
      <c r="E10" s="61">
        <f>Drivers_Distributions!F13</f>
        <v>0.8</v>
      </c>
      <c r="F10" s="59">
        <f t="shared" ca="1" si="0"/>
        <v>0.50206393140696104</v>
      </c>
      <c r="G10" s="5"/>
      <c r="H10" s="5"/>
      <c r="I10" s="5"/>
      <c r="J10" s="13" t="s">
        <v>147</v>
      </c>
      <c r="K10" s="91" cm="1">
        <f t="array" aca="1" ref="K10" ca="1">INDEX(F:F,K5+17)</f>
        <v>0.1006261136674322</v>
      </c>
      <c r="P10" s="5"/>
    </row>
    <row r="11" spans="1:16" x14ac:dyDescent="0.3">
      <c r="A11" s="106" t="str">
        <f>Drivers_Distributions!A14</f>
        <v>Working Capital (% Rev)</v>
      </c>
      <c r="B11" s="23" t="str">
        <f>Drivers_Distributions!C14</f>
        <v>Triangular</v>
      </c>
      <c r="C11" s="61">
        <f>Drivers_Distributions!D14</f>
        <v>0.15</v>
      </c>
      <c r="D11" s="61">
        <f>Drivers_Distributions!E14</f>
        <v>0.19420000000000001</v>
      </c>
      <c r="E11" s="61">
        <f>Drivers_Distributions!F14</f>
        <v>0.23</v>
      </c>
      <c r="F11" s="59">
        <f t="shared" ca="1" si="0"/>
        <v>0.19984056713641812</v>
      </c>
      <c r="G11" s="5"/>
      <c r="H11" s="5"/>
      <c r="I11" s="5"/>
      <c r="J11" s="13" t="s">
        <v>148</v>
      </c>
      <c r="K11" s="91" cm="1">
        <f t="array" aca="1" ref="K11" ca="1">INDEX(G:G,K5+17)</f>
        <v>4.2764664541154407E-2</v>
      </c>
      <c r="P11" s="5"/>
    </row>
    <row r="12" spans="1:16" x14ac:dyDescent="0.3">
      <c r="A12" s="106" t="str">
        <f>Drivers_Distributions!A15</f>
        <v>WACC (%)</v>
      </c>
      <c r="B12" s="23" t="str">
        <f>Drivers_Distributions!C15</f>
        <v>Triangular</v>
      </c>
      <c r="C12" s="61">
        <f>Drivers_Distributions!D15</f>
        <v>7.4999999999999997E-2</v>
      </c>
      <c r="D12" s="61">
        <f>Drivers_Distributions!E15</f>
        <v>0.10059999999999999</v>
      </c>
      <c r="E12" s="61">
        <f>Drivers_Distributions!F15</f>
        <v>0.11</v>
      </c>
      <c r="F12" s="59">
        <f t="shared" ca="1" si="0"/>
        <v>0.1006261136674322</v>
      </c>
      <c r="G12" s="5"/>
      <c r="H12" s="5"/>
      <c r="I12" s="5"/>
      <c r="J12" s="17" t="s">
        <v>149</v>
      </c>
      <c r="K12" s="115" cm="1">
        <f t="array" aca="1" ref="K12" ca="1">INDEX(H:H,K5+17)</f>
        <v>0.11856069610842913</v>
      </c>
      <c r="P12" s="5"/>
    </row>
    <row r="13" spans="1:16" x14ac:dyDescent="0.3">
      <c r="A13" s="106" t="str">
        <f>Drivers_Distributions!A16</f>
        <v>Terminal Growth (%)</v>
      </c>
      <c r="B13" s="23" t="str">
        <f>Drivers_Distributions!C16</f>
        <v>Triangular</v>
      </c>
      <c r="C13" s="61">
        <f>Drivers_Distributions!D16</f>
        <v>2.5000000000000001E-2</v>
      </c>
      <c r="D13" s="61">
        <f>Drivers_Distributions!E16</f>
        <v>0.05</v>
      </c>
      <c r="E13" s="61">
        <f>Drivers_Distributions!F16</f>
        <v>0.08</v>
      </c>
      <c r="F13" s="59">
        <f t="shared" ca="1" si="0"/>
        <v>4.2764664541154407E-2</v>
      </c>
      <c r="G13" s="5"/>
      <c r="H13" s="5"/>
      <c r="I13" s="5"/>
      <c r="P13" s="5"/>
    </row>
    <row r="14" spans="1:16" x14ac:dyDescent="0.3">
      <c r="A14" s="107" t="str">
        <f>Drivers_Distributions!A17</f>
        <v>Terminal ROIC (%)</v>
      </c>
      <c r="B14" s="104" t="str">
        <f>Drivers_Distributions!C17</f>
        <v>Triangular</v>
      </c>
      <c r="C14" s="62">
        <f>Drivers_Distributions!D17</f>
        <v>7.4999999999999997E-2</v>
      </c>
      <c r="D14" s="62">
        <f>Drivers_Distributions!E17</f>
        <v>0.10964912280701755</v>
      </c>
      <c r="E14" s="62">
        <f>Drivers_Distributions!F17</f>
        <v>0.13</v>
      </c>
      <c r="F14" s="60">
        <f t="shared" ca="1" si="0"/>
        <v>0.11856069610842913</v>
      </c>
      <c r="G14" s="5"/>
      <c r="H14" s="5"/>
      <c r="I14" s="5"/>
      <c r="P14" s="5"/>
    </row>
    <row r="15" spans="1:16" x14ac:dyDescent="0.3">
      <c r="B15" s="23"/>
      <c r="C15" s="61"/>
      <c r="D15" s="61"/>
      <c r="E15" s="61"/>
      <c r="F15" s="61"/>
      <c r="G15" s="5"/>
      <c r="H15" s="5"/>
      <c r="I15" s="5"/>
      <c r="P15" s="5"/>
    </row>
    <row r="16" spans="1:16" x14ac:dyDescent="0.3">
      <c r="B16" s="23"/>
      <c r="C16" s="23"/>
      <c r="D16" s="23"/>
      <c r="E16" s="23"/>
      <c r="F16" s="23"/>
      <c r="G16" s="5"/>
      <c r="H16" s="5"/>
      <c r="I16" s="5"/>
      <c r="P16" s="5"/>
    </row>
    <row r="17" spans="1:16" x14ac:dyDescent="0.3">
      <c r="A17" s="44" t="s">
        <v>135</v>
      </c>
      <c r="B17" s="38" t="s">
        <v>136</v>
      </c>
      <c r="C17" s="38" t="s">
        <v>137</v>
      </c>
      <c r="D17" s="38" t="s">
        <v>138</v>
      </c>
      <c r="E17" s="38" t="s">
        <v>140</v>
      </c>
      <c r="F17" s="38" t="s">
        <v>109</v>
      </c>
      <c r="G17" s="38" t="s">
        <v>110</v>
      </c>
      <c r="H17" s="38" t="s">
        <v>141</v>
      </c>
      <c r="I17" s="38" t="s">
        <v>139</v>
      </c>
      <c r="P17" s="5"/>
    </row>
    <row r="18" spans="1:16" x14ac:dyDescent="0.3">
      <c r="A18" s="120"/>
      <c r="B18" s="116">
        <f ca="1">F7</f>
        <v>5.9168215360362278E-2</v>
      </c>
      <c r="C18" s="116">
        <f ca="1">F8</f>
        <v>0.28083782263181095</v>
      </c>
      <c r="D18" s="116">
        <f ca="1">F10</f>
        <v>0.50206393140696104</v>
      </c>
      <c r="E18" s="116">
        <f ca="1">F11</f>
        <v>0.19984056713641812</v>
      </c>
      <c r="F18" s="52">
        <f ca="1">F12</f>
        <v>0.1006261136674322</v>
      </c>
      <c r="G18" s="116">
        <f ca="1">F13</f>
        <v>4.2764664541154407E-2</v>
      </c>
      <c r="H18" s="116">
        <f ca="1">F14</f>
        <v>0.11856069610842913</v>
      </c>
      <c r="I18" s="121">
        <f ca="1">DCF_Valuation!C30</f>
        <v>168.80901181509782</v>
      </c>
      <c r="P18" s="5"/>
    </row>
    <row r="19" spans="1:16" x14ac:dyDescent="0.3">
      <c r="A19" s="118">
        <v>1</v>
      </c>
      <c r="B19" s="52">
        <v>5.3894011514919682E-2</v>
      </c>
      <c r="C19" s="52">
        <v>0.29652348014577756</v>
      </c>
      <c r="D19" s="52">
        <v>0.59319590162091662</v>
      </c>
      <c r="E19" s="52">
        <v>0.17879190224212438</v>
      </c>
      <c r="F19" s="52">
        <v>9.515540022023454E-2</v>
      </c>
      <c r="G19" s="116">
        <v>5.1695942675067053E-2</v>
      </c>
      <c r="H19" s="116">
        <v>0.10543209287462604</v>
      </c>
      <c r="I19" s="119">
        <v>338.80912512422248</v>
      </c>
      <c r="P19" s="5"/>
    </row>
    <row r="20" spans="1:16" x14ac:dyDescent="0.3">
      <c r="A20" s="118">
        <v>2</v>
      </c>
      <c r="B20" s="52">
        <v>4.5175829581691647E-2</v>
      </c>
      <c r="C20" s="52">
        <v>0.2800383391011933</v>
      </c>
      <c r="D20" s="52">
        <v>0.43026986084010888</v>
      </c>
      <c r="E20" s="52">
        <v>0.20762544258788601</v>
      </c>
      <c r="F20" s="52">
        <v>9.0012661399422614E-2</v>
      </c>
      <c r="G20" s="52">
        <v>4.8038020561632255E-2</v>
      </c>
      <c r="H20" s="52">
        <v>0.10516152044176587</v>
      </c>
      <c r="I20" s="119">
        <v>287.52924088733835</v>
      </c>
      <c r="P20" s="5"/>
    </row>
    <row r="21" spans="1:16" x14ac:dyDescent="0.3">
      <c r="A21" s="118">
        <v>3</v>
      </c>
      <c r="B21" s="52">
        <v>7.5592215462065682E-2</v>
      </c>
      <c r="C21" s="52">
        <v>0.2893170139856388</v>
      </c>
      <c r="D21" s="52">
        <v>0.47927013797004825</v>
      </c>
      <c r="E21" s="52">
        <v>0.18684277598836915</v>
      </c>
      <c r="F21" s="52">
        <v>9.1064925497750207E-2</v>
      </c>
      <c r="G21" s="52">
        <v>6.0076574277669249E-2</v>
      </c>
      <c r="H21" s="52">
        <v>0.11119104405516288</v>
      </c>
      <c r="I21" s="119">
        <v>583.81439115568628</v>
      </c>
      <c r="P21" s="5"/>
    </row>
    <row r="22" spans="1:16" x14ac:dyDescent="0.3">
      <c r="A22" s="118">
        <v>4</v>
      </c>
      <c r="B22" s="52">
        <v>5.8241963574272596E-2</v>
      </c>
      <c r="C22" s="52">
        <v>0.28487372838668173</v>
      </c>
      <c r="D22" s="52">
        <v>0.61125196997421372</v>
      </c>
      <c r="E22" s="52">
        <v>0.2013176590766208</v>
      </c>
      <c r="F22" s="52">
        <v>0.10160889676218474</v>
      </c>
      <c r="G22" s="52">
        <v>4.2362488557250291E-2</v>
      </c>
      <c r="H22" s="52">
        <v>0.11458418463437654</v>
      </c>
      <c r="I22" s="119">
        <v>169.28121956385567</v>
      </c>
      <c r="P22" s="5"/>
    </row>
    <row r="23" spans="1:16" x14ac:dyDescent="0.3">
      <c r="A23" s="118">
        <v>5</v>
      </c>
      <c r="B23" s="52">
        <v>6.7724892114671309E-2</v>
      </c>
      <c r="C23" s="52">
        <v>0.273235721161941</v>
      </c>
      <c r="D23" s="52">
        <v>0.50077259791831263</v>
      </c>
      <c r="E23" s="52">
        <v>0.20399123153938409</v>
      </c>
      <c r="F23" s="52">
        <v>0.10492910495259684</v>
      </c>
      <c r="G23" s="52">
        <v>4.0986411713826269E-2</v>
      </c>
      <c r="H23" s="52">
        <v>0.11142388366167989</v>
      </c>
      <c r="I23" s="119">
        <v>121.87701913624979</v>
      </c>
      <c r="P23" s="5"/>
    </row>
    <row r="24" spans="1:16" x14ac:dyDescent="0.3">
      <c r="A24" s="118">
        <v>6</v>
      </c>
      <c r="B24" s="52">
        <v>7.0370092487223118E-2</v>
      </c>
      <c r="C24" s="52">
        <v>0.29344333378603765</v>
      </c>
      <c r="D24" s="52">
        <v>0.42982858516601796</v>
      </c>
      <c r="E24" s="52">
        <v>0.19074448627249163</v>
      </c>
      <c r="F24" s="52">
        <v>9.7575168449735558E-2</v>
      </c>
      <c r="G24" s="52">
        <v>5.3348870334071569E-2</v>
      </c>
      <c r="H24" s="52">
        <v>0.1057449104386711</v>
      </c>
      <c r="I24" s="119">
        <v>350.12602020380666</v>
      </c>
      <c r="P24" s="5"/>
    </row>
    <row r="25" spans="1:16" x14ac:dyDescent="0.3">
      <c r="A25" s="118">
        <v>7</v>
      </c>
      <c r="B25" s="52">
        <v>5.2583793786450769E-2</v>
      </c>
      <c r="C25" s="52">
        <v>0.29933969071741673</v>
      </c>
      <c r="D25" s="52">
        <v>0.60804169981871437</v>
      </c>
      <c r="E25" s="52">
        <v>0.19415876742998212</v>
      </c>
      <c r="F25" s="52">
        <v>8.4008394663137476E-2</v>
      </c>
      <c r="G25" s="52">
        <v>5.7837697955260961E-2</v>
      </c>
      <c r="H25" s="52">
        <v>0.11058060486119109</v>
      </c>
      <c r="I25" s="119">
        <v>720.81464746993936</v>
      </c>
      <c r="P25" s="5"/>
    </row>
    <row r="26" spans="1:16" x14ac:dyDescent="0.3">
      <c r="A26" s="118">
        <v>8</v>
      </c>
      <c r="B26" s="52">
        <v>5.4612545800268489E-2</v>
      </c>
      <c r="C26" s="52">
        <v>0.30210963033715926</v>
      </c>
      <c r="D26" s="52">
        <v>0.61702626693731277</v>
      </c>
      <c r="E26" s="52">
        <v>0.20731270566173715</v>
      </c>
      <c r="F26" s="52">
        <v>8.6468167069775115E-2</v>
      </c>
      <c r="G26" s="52">
        <v>4.2577312511661809E-2</v>
      </c>
      <c r="H26" s="52">
        <v>9.7050629962643006E-2</v>
      </c>
      <c r="I26" s="119">
        <v>374.04819166005524</v>
      </c>
      <c r="P26" s="5"/>
    </row>
    <row r="27" spans="1:16" x14ac:dyDescent="0.3">
      <c r="A27" s="118">
        <v>9</v>
      </c>
      <c r="B27" s="52">
        <v>7.5498007059845537E-2</v>
      </c>
      <c r="C27" s="52">
        <v>0.28496777144543928</v>
      </c>
      <c r="D27" s="52">
        <v>0.55800594794245439</v>
      </c>
      <c r="E27" s="52">
        <v>0.22379198591330038</v>
      </c>
      <c r="F27" s="52">
        <v>0.10416461857246979</v>
      </c>
      <c r="G27" s="52">
        <v>5.7362481439973211E-2</v>
      </c>
      <c r="H27" s="52">
        <v>8.5247889870355573E-2</v>
      </c>
      <c r="I27" s="119">
        <v>289.01922233116056</v>
      </c>
      <c r="P27" s="5"/>
    </row>
    <row r="28" spans="1:16" x14ac:dyDescent="0.3">
      <c r="A28" s="118">
        <v>10</v>
      </c>
      <c r="B28" s="52">
        <v>7.2993065671421664E-2</v>
      </c>
      <c r="C28" s="52">
        <v>0.24641621339234421</v>
      </c>
      <c r="D28" s="52">
        <v>0.42917316108082348</v>
      </c>
      <c r="E28" s="52">
        <v>0.18754500596554344</v>
      </c>
      <c r="F28" s="52">
        <v>9.230114301684561E-2</v>
      </c>
      <c r="G28" s="52">
        <v>4.1068466910122163E-2</v>
      </c>
      <c r="H28" s="52">
        <v>8.8096802775784841E-2</v>
      </c>
      <c r="I28" s="119">
        <v>132.60653468042995</v>
      </c>
      <c r="P28" s="5"/>
    </row>
    <row r="29" spans="1:16" x14ac:dyDescent="0.3">
      <c r="A29" s="118">
        <v>11</v>
      </c>
      <c r="B29" s="52">
        <v>5.6382227663390093E-2</v>
      </c>
      <c r="C29" s="52">
        <v>0.27918707921275254</v>
      </c>
      <c r="D29" s="52">
        <v>0.57123285750281871</v>
      </c>
      <c r="E29" s="52">
        <v>0.16449308880501545</v>
      </c>
      <c r="F29" s="52">
        <v>8.5785877362020063E-2</v>
      </c>
      <c r="G29" s="52">
        <v>3.0894597662273246E-2</v>
      </c>
      <c r="H29" s="52">
        <v>0.11741892096985909</v>
      </c>
      <c r="I29" s="119">
        <v>200.52438538262408</v>
      </c>
      <c r="P29" s="5"/>
    </row>
    <row r="30" spans="1:16" x14ac:dyDescent="0.3">
      <c r="A30" s="118">
        <v>12</v>
      </c>
      <c r="B30" s="52">
        <v>5.3022296755798691E-2</v>
      </c>
      <c r="C30" s="52">
        <v>0.2786337267732229</v>
      </c>
      <c r="D30" s="52">
        <v>0.51854018582628747</v>
      </c>
      <c r="E30" s="52">
        <v>0.20445975849245338</v>
      </c>
      <c r="F30" s="52">
        <v>8.8722815771870439E-2</v>
      </c>
      <c r="G30" s="52">
        <v>5.405862222303294E-2</v>
      </c>
      <c r="H30" s="52">
        <v>0.10686951390306851</v>
      </c>
      <c r="I30" s="119">
        <v>400.78346012523156</v>
      </c>
      <c r="P30" s="5"/>
    </row>
    <row r="31" spans="1:16" x14ac:dyDescent="0.3">
      <c r="A31" s="118">
        <v>13</v>
      </c>
      <c r="B31" s="52">
        <v>6.8140696208534357E-2</v>
      </c>
      <c r="C31" s="52">
        <v>0.28630067503146084</v>
      </c>
      <c r="D31" s="52">
        <v>0.69870390782491243</v>
      </c>
      <c r="E31" s="52">
        <v>0.17289117715698016</v>
      </c>
      <c r="F31" s="52">
        <v>8.7705046621370603E-2</v>
      </c>
      <c r="G31" s="52">
        <v>5.8641613313349453E-2</v>
      </c>
      <c r="H31" s="52">
        <v>0.11567463717471888</v>
      </c>
      <c r="I31" s="119">
        <v>602.23085475868436</v>
      </c>
      <c r="P31" s="5"/>
    </row>
    <row r="32" spans="1:16" x14ac:dyDescent="0.3">
      <c r="A32" s="118">
        <v>14</v>
      </c>
      <c r="B32" s="52">
        <v>6.3844933719396063E-2</v>
      </c>
      <c r="C32" s="52">
        <v>0.30091733721433633</v>
      </c>
      <c r="D32" s="52">
        <v>0.58240261406352223</v>
      </c>
      <c r="E32" s="52">
        <v>0.19307701341886255</v>
      </c>
      <c r="F32" s="52">
        <v>9.5589833518786277E-2</v>
      </c>
      <c r="G32" s="52">
        <v>4.8052311097752119E-2</v>
      </c>
      <c r="H32" s="52">
        <v>7.618486095262815E-2</v>
      </c>
      <c r="I32" s="119">
        <v>330.62151158100795</v>
      </c>
      <c r="P32" s="5"/>
    </row>
    <row r="33" spans="1:16" x14ac:dyDescent="0.3">
      <c r="A33" s="118">
        <v>15</v>
      </c>
      <c r="B33" s="52">
        <v>7.4035371988723508E-2</v>
      </c>
      <c r="C33" s="52">
        <v>0.30017576456175493</v>
      </c>
      <c r="D33" s="52">
        <v>0.59657422572617524</v>
      </c>
      <c r="E33" s="52">
        <v>0.19278340530047436</v>
      </c>
      <c r="F33" s="52">
        <v>9.61642764720992E-2</v>
      </c>
      <c r="G33" s="52">
        <v>5.9492070221862509E-2</v>
      </c>
      <c r="H33" s="52">
        <v>0.11324547700367329</v>
      </c>
      <c r="I33" s="119">
        <v>500.23116036558275</v>
      </c>
      <c r="P33" s="5"/>
    </row>
    <row r="34" spans="1:16" x14ac:dyDescent="0.3">
      <c r="A34" s="118">
        <v>16</v>
      </c>
      <c r="B34" s="52">
        <v>5.4762775591911124E-2</v>
      </c>
      <c r="C34" s="52">
        <v>0.27209219867783213</v>
      </c>
      <c r="D34" s="52">
        <v>0.44704595784109141</v>
      </c>
      <c r="E34" s="52">
        <v>0.20577710666269383</v>
      </c>
      <c r="F34" s="52">
        <v>9.6564036983419047E-2</v>
      </c>
      <c r="G34" s="52">
        <v>5.2158891027159045E-2</v>
      </c>
      <c r="H34" s="52">
        <v>0.1161758011965166</v>
      </c>
      <c r="I34" s="119">
        <v>240.70056384825583</v>
      </c>
      <c r="P34" s="5"/>
    </row>
    <row r="35" spans="1:16" x14ac:dyDescent="0.3">
      <c r="A35" s="118">
        <v>17</v>
      </c>
      <c r="B35" s="52">
        <v>6.0628402419242944E-2</v>
      </c>
      <c r="C35" s="52">
        <v>0.28330102440403582</v>
      </c>
      <c r="D35" s="52">
        <v>0.68277215831397842</v>
      </c>
      <c r="E35" s="52">
        <v>0.2059078370639949</v>
      </c>
      <c r="F35" s="52">
        <v>0.10118309323561772</v>
      </c>
      <c r="G35" s="52">
        <v>6.1131826954316876E-2</v>
      </c>
      <c r="H35" s="52">
        <v>0.11713119017320221</v>
      </c>
      <c r="I35" s="119">
        <v>333.01064690250541</v>
      </c>
      <c r="P35" s="5"/>
    </row>
    <row r="36" spans="1:16" x14ac:dyDescent="0.3">
      <c r="A36" s="118">
        <v>18</v>
      </c>
      <c r="B36" s="52">
        <v>6.5366275623521028E-2</v>
      </c>
      <c r="C36" s="52">
        <v>0.27668542438257399</v>
      </c>
      <c r="D36" s="52">
        <v>0.62530559894579507</v>
      </c>
      <c r="E36" s="52">
        <v>0.17737907821128837</v>
      </c>
      <c r="F36" s="52">
        <v>0.1016428908452376</v>
      </c>
      <c r="G36" s="52">
        <v>6.1403417275137082E-2</v>
      </c>
      <c r="H36" s="52">
        <v>8.4726015978607183E-2</v>
      </c>
      <c r="I36" s="119">
        <v>313.78308001018291</v>
      </c>
      <c r="P36" s="5"/>
    </row>
    <row r="37" spans="1:16" x14ac:dyDescent="0.3">
      <c r="A37" s="118">
        <v>19</v>
      </c>
      <c r="B37" s="52">
        <v>6.8971106482501945E-2</v>
      </c>
      <c r="C37" s="52">
        <v>0.27635141310577421</v>
      </c>
      <c r="D37" s="52">
        <v>0.49317277386138514</v>
      </c>
      <c r="E37" s="52">
        <v>0.16888328871326941</v>
      </c>
      <c r="F37" s="52">
        <v>8.3990261675695205E-2</v>
      </c>
      <c r="G37" s="52">
        <v>6.3449158024465574E-2</v>
      </c>
      <c r="H37" s="52">
        <v>0.111020173303293</v>
      </c>
      <c r="I37" s="119">
        <v>863.25977595442885</v>
      </c>
      <c r="P37" s="5"/>
    </row>
    <row r="38" spans="1:16" x14ac:dyDescent="0.3">
      <c r="A38" s="118">
        <v>20</v>
      </c>
      <c r="B38" s="52">
        <v>7.1668215402939384E-2</v>
      </c>
      <c r="C38" s="52">
        <v>0.28841442074436952</v>
      </c>
      <c r="D38" s="52">
        <v>0.72231212100239672</v>
      </c>
      <c r="E38" s="52">
        <v>0.18016929243814955</v>
      </c>
      <c r="F38" s="52">
        <v>9.7291818246080963E-2</v>
      </c>
      <c r="G38" s="52">
        <v>6.4445589415798338E-2</v>
      </c>
      <c r="H38" s="52">
        <v>9.4223402923822822E-2</v>
      </c>
      <c r="I38" s="119">
        <v>508.49045485796273</v>
      </c>
      <c r="P38" s="5"/>
    </row>
    <row r="39" spans="1:16" x14ac:dyDescent="0.3">
      <c r="A39" s="118">
        <v>21</v>
      </c>
      <c r="B39" s="52">
        <v>6.9166545261681464E-2</v>
      </c>
      <c r="C39" s="52">
        <v>0.26313472163841589</v>
      </c>
      <c r="D39" s="52">
        <v>0.75799655710240788</v>
      </c>
      <c r="E39" s="52">
        <v>0.18493986695453069</v>
      </c>
      <c r="F39" s="52">
        <v>0.10102803099904292</v>
      </c>
      <c r="G39" s="52">
        <v>5.4060636467072251E-2</v>
      </c>
      <c r="H39" s="52">
        <v>8.3018774665588338E-2</v>
      </c>
      <c r="I39" s="119">
        <v>203.59813934383041</v>
      </c>
      <c r="P39" s="5"/>
    </row>
    <row r="40" spans="1:16" x14ac:dyDescent="0.3">
      <c r="A40" s="118">
        <v>22</v>
      </c>
      <c r="B40" s="52">
        <v>5.843317226369403E-2</v>
      </c>
      <c r="C40" s="52">
        <v>0.27479911701761145</v>
      </c>
      <c r="D40" s="52">
        <v>0.54407091319680601</v>
      </c>
      <c r="E40" s="52">
        <v>0.18117113737664142</v>
      </c>
      <c r="F40" s="52">
        <v>0.10135154320354361</v>
      </c>
      <c r="G40" s="52">
        <v>5.6532568374716964E-2</v>
      </c>
      <c r="H40" s="52">
        <v>9.897990009039194E-2</v>
      </c>
      <c r="I40" s="119">
        <v>244.78771309122638</v>
      </c>
      <c r="P40" s="5"/>
    </row>
    <row r="41" spans="1:16" x14ac:dyDescent="0.3">
      <c r="A41" s="118">
        <v>23</v>
      </c>
      <c r="B41" s="52">
        <v>6.3252460995617349E-2</v>
      </c>
      <c r="C41" s="52">
        <v>0.29060650395697202</v>
      </c>
      <c r="D41" s="52">
        <v>0.53432430210819815</v>
      </c>
      <c r="E41" s="52">
        <v>0.16590965857472673</v>
      </c>
      <c r="F41" s="52">
        <v>0.10084987298522388</v>
      </c>
      <c r="G41" s="52">
        <v>4.3098364503968332E-2</v>
      </c>
      <c r="H41" s="52">
        <v>9.7308863343343543E-2</v>
      </c>
      <c r="I41" s="119">
        <v>203.73390905265623</v>
      </c>
      <c r="P41" s="5"/>
    </row>
    <row r="42" spans="1:16" x14ac:dyDescent="0.3">
      <c r="A42" s="118">
        <v>24</v>
      </c>
      <c r="B42" s="52">
        <v>5.7424128429228657E-2</v>
      </c>
      <c r="C42" s="52">
        <v>0.29972587764209369</v>
      </c>
      <c r="D42" s="52">
        <v>0.52600928257749835</v>
      </c>
      <c r="E42" s="52">
        <v>0.18689720454528697</v>
      </c>
      <c r="F42" s="52">
        <v>0.10019463626757341</v>
      </c>
      <c r="G42" s="52">
        <v>6.1494899045810902E-2</v>
      </c>
      <c r="H42" s="52">
        <v>0.11280727665271548</v>
      </c>
      <c r="I42" s="119">
        <v>410.91189750365731</v>
      </c>
    </row>
    <row r="43" spans="1:16" x14ac:dyDescent="0.3">
      <c r="A43" s="118">
        <v>25</v>
      </c>
      <c r="B43" s="52">
        <v>6.9332416802152033E-2</v>
      </c>
      <c r="C43" s="52">
        <v>0.27405916257954932</v>
      </c>
      <c r="D43" s="52">
        <v>0.54416999895690554</v>
      </c>
      <c r="E43" s="52">
        <v>0.19114308755903436</v>
      </c>
      <c r="F43" s="52">
        <v>0.10357944029579919</v>
      </c>
      <c r="G43" s="52">
        <v>3.3573110594266486E-2</v>
      </c>
      <c r="H43" s="52">
        <v>9.2366738654667213E-2</v>
      </c>
      <c r="I43" s="119">
        <v>101.49118675311044</v>
      </c>
    </row>
    <row r="44" spans="1:16" x14ac:dyDescent="0.3">
      <c r="A44" s="118">
        <v>26</v>
      </c>
      <c r="B44" s="52">
        <v>6.7687119999134238E-2</v>
      </c>
      <c r="C44" s="52">
        <v>0.2820669152004564</v>
      </c>
      <c r="D44" s="52">
        <v>0.74355976224665488</v>
      </c>
      <c r="E44" s="52">
        <v>0.20141729761041582</v>
      </c>
      <c r="F44" s="52">
        <v>9.8439458892741721E-2</v>
      </c>
      <c r="G44" s="52">
        <v>5.3378535354852361E-2</v>
      </c>
      <c r="H44" s="52">
        <v>0.11615304321678109</v>
      </c>
      <c r="I44" s="119">
        <v>291.21097107694374</v>
      </c>
    </row>
    <row r="45" spans="1:16" x14ac:dyDescent="0.3">
      <c r="A45" s="118">
        <v>27</v>
      </c>
      <c r="B45" s="52">
        <v>6.0557272533163412E-2</v>
      </c>
      <c r="C45" s="52">
        <v>0.29301310988639634</v>
      </c>
      <c r="D45" s="52">
        <v>0.53270227711265861</v>
      </c>
      <c r="E45" s="52">
        <v>0.21367075711666228</v>
      </c>
      <c r="F45" s="52">
        <v>9.1868397075418884E-2</v>
      </c>
      <c r="G45" s="52">
        <v>5.9675338362755667E-2</v>
      </c>
      <c r="H45" s="52">
        <v>0.1034049030744488</v>
      </c>
      <c r="I45" s="119">
        <v>527.15529725221108</v>
      </c>
    </row>
    <row r="46" spans="1:16" x14ac:dyDescent="0.3">
      <c r="A46" s="118">
        <v>28</v>
      </c>
      <c r="B46" s="52">
        <v>7.0521202730059282E-2</v>
      </c>
      <c r="C46" s="52">
        <v>0.2726347586838106</v>
      </c>
      <c r="D46" s="52">
        <v>0.51905984300495567</v>
      </c>
      <c r="E46" s="52">
        <v>0.21547572273202423</v>
      </c>
      <c r="F46" s="52">
        <v>9.3403310779004239E-2</v>
      </c>
      <c r="G46" s="52">
        <v>3.9970811212769179E-2</v>
      </c>
      <c r="H46" s="52">
        <v>0.11854974453888603</v>
      </c>
      <c r="I46" s="119">
        <v>200.77365567705434</v>
      </c>
    </row>
    <row r="47" spans="1:16" x14ac:dyDescent="0.3">
      <c r="A47" s="118">
        <v>29</v>
      </c>
      <c r="B47" s="52">
        <v>6.8562203135469305E-2</v>
      </c>
      <c r="C47" s="52">
        <v>0.30157757845641509</v>
      </c>
      <c r="D47" s="52">
        <v>0.48329509575726082</v>
      </c>
      <c r="E47" s="52">
        <v>0.18369564863680948</v>
      </c>
      <c r="F47" s="52">
        <v>9.9776835884729589E-2</v>
      </c>
      <c r="G47" s="52">
        <v>6.0086451260982887E-2</v>
      </c>
      <c r="H47" s="52">
        <v>9.816064346885596E-2</v>
      </c>
      <c r="I47" s="119">
        <v>432.89320992620873</v>
      </c>
    </row>
    <row r="48" spans="1:16" x14ac:dyDescent="0.3">
      <c r="A48" s="118">
        <v>30</v>
      </c>
      <c r="B48" s="52">
        <v>6.8976339800998099E-2</v>
      </c>
      <c r="C48" s="52">
        <v>0.28525125252236921</v>
      </c>
      <c r="D48" s="52">
        <v>0.55867722346099424</v>
      </c>
      <c r="E48" s="52">
        <v>0.18523925322142659</v>
      </c>
      <c r="F48" s="52">
        <v>9.4512605183815379E-2</v>
      </c>
      <c r="G48" s="52">
        <v>4.0252124863323024E-2</v>
      </c>
      <c r="H48" s="52">
        <v>0.11557977801281366</v>
      </c>
      <c r="I48" s="119">
        <v>231.30783566140417</v>
      </c>
    </row>
    <row r="49" spans="1:9" x14ac:dyDescent="0.3">
      <c r="A49" s="118">
        <v>31</v>
      </c>
      <c r="B49" s="52">
        <v>5.4915474983646913E-2</v>
      </c>
      <c r="C49" s="52">
        <v>0.29484196419965497</v>
      </c>
      <c r="D49" s="52">
        <v>0.4351962202885421</v>
      </c>
      <c r="E49" s="52">
        <v>0.21435247072281136</v>
      </c>
      <c r="F49" s="52">
        <v>9.9815852039709163E-2</v>
      </c>
      <c r="G49" s="52">
        <v>4.5583378999932228E-2</v>
      </c>
      <c r="H49" s="52">
        <v>0.11296544096416811</v>
      </c>
      <c r="I49" s="119">
        <v>227.71941209357811</v>
      </c>
    </row>
    <row r="50" spans="1:9" x14ac:dyDescent="0.3">
      <c r="A50" s="118">
        <v>32</v>
      </c>
      <c r="B50" s="52">
        <v>6.3140722151599257E-2</v>
      </c>
      <c r="C50" s="52">
        <v>0.28575733909272838</v>
      </c>
      <c r="D50" s="52">
        <v>0.61809950664851998</v>
      </c>
      <c r="E50" s="52">
        <v>0.20058363439181953</v>
      </c>
      <c r="F50" s="52">
        <v>7.7488377023020527E-2</v>
      </c>
      <c r="G50" s="52">
        <v>3.6540397818894024E-2</v>
      </c>
      <c r="H50" s="52">
        <v>8.2921469404393544E-2</v>
      </c>
      <c r="I50" s="119">
        <v>387.53332967227567</v>
      </c>
    </row>
    <row r="51" spans="1:9" x14ac:dyDescent="0.3">
      <c r="A51" s="118">
        <v>33</v>
      </c>
      <c r="B51" s="52">
        <v>6.7049301192448646E-2</v>
      </c>
      <c r="C51" s="52">
        <v>0.28487485359628512</v>
      </c>
      <c r="D51" s="52">
        <v>0.61945127708667935</v>
      </c>
      <c r="E51" s="52">
        <v>0.1986781285810193</v>
      </c>
      <c r="F51" s="52">
        <v>0.10473620181403422</v>
      </c>
      <c r="G51" s="52">
        <v>6.0833436592691852E-2</v>
      </c>
      <c r="H51" s="52">
        <v>0.11420958991310945</v>
      </c>
      <c r="I51" s="119">
        <v>300.56880628659405</v>
      </c>
    </row>
    <row r="52" spans="1:9" x14ac:dyDescent="0.3">
      <c r="A52" s="118">
        <v>34</v>
      </c>
      <c r="B52" s="52">
        <v>6.5477386366386628E-2</v>
      </c>
      <c r="C52" s="52">
        <v>0.28875939277030033</v>
      </c>
      <c r="D52" s="52">
        <v>0.50772063206036944</v>
      </c>
      <c r="E52" s="52">
        <v>0.19962759617120457</v>
      </c>
      <c r="F52" s="52">
        <v>9.5247000665216117E-2</v>
      </c>
      <c r="G52" s="52">
        <v>3.5512967307940312E-2</v>
      </c>
      <c r="H52" s="52">
        <v>9.4439992294712449E-2</v>
      </c>
      <c r="I52" s="119">
        <v>198.13825244675522</v>
      </c>
    </row>
    <row r="53" spans="1:9" x14ac:dyDescent="0.3">
      <c r="A53" s="118">
        <v>35</v>
      </c>
      <c r="B53" s="52">
        <v>6.8744748389090199E-2</v>
      </c>
      <c r="C53" s="52">
        <v>0.29681055397411804</v>
      </c>
      <c r="D53" s="52">
        <v>0.52954459394860742</v>
      </c>
      <c r="E53" s="52">
        <v>0.17098814188548125</v>
      </c>
      <c r="F53" s="52">
        <v>9.1902084435460135E-2</v>
      </c>
      <c r="G53" s="52">
        <v>5.9722838631358299E-2</v>
      </c>
      <c r="H53" s="52">
        <v>0.10240851964035894</v>
      </c>
      <c r="I53" s="119">
        <v>571.15476502669321</v>
      </c>
    </row>
    <row r="54" spans="1:9" x14ac:dyDescent="0.3">
      <c r="A54" s="118">
        <v>36</v>
      </c>
      <c r="B54" s="52">
        <v>7.6512834565882606E-2</v>
      </c>
      <c r="C54" s="52">
        <v>0.27613713704605519</v>
      </c>
      <c r="D54" s="52">
        <v>0.69424361881250984</v>
      </c>
      <c r="E54" s="52">
        <v>0.20183773542952016</v>
      </c>
      <c r="F54" s="52">
        <v>9.0373892183765597E-2</v>
      </c>
      <c r="G54" s="52">
        <v>6.3094774813972895E-2</v>
      </c>
      <c r="H54" s="52">
        <v>0.10780525728044162</v>
      </c>
      <c r="I54" s="119">
        <v>610.80229404907311</v>
      </c>
    </row>
    <row r="55" spans="1:9" x14ac:dyDescent="0.3">
      <c r="A55" s="118">
        <v>37</v>
      </c>
      <c r="B55" s="52">
        <v>6.5598864104017676E-2</v>
      </c>
      <c r="C55" s="52">
        <v>0.30103958807946724</v>
      </c>
      <c r="D55" s="52">
        <v>0.66338634242741656</v>
      </c>
      <c r="E55" s="52">
        <v>0.17747944036299743</v>
      </c>
      <c r="F55" s="52">
        <v>9.7386806112921012E-2</v>
      </c>
      <c r="G55" s="52">
        <v>5.9010121675272156E-2</v>
      </c>
      <c r="H55" s="52">
        <v>0.10057702684568703</v>
      </c>
      <c r="I55" s="119">
        <v>448.95059786954033</v>
      </c>
    </row>
    <row r="56" spans="1:9" x14ac:dyDescent="0.3">
      <c r="A56" s="118">
        <v>38</v>
      </c>
      <c r="B56" s="52">
        <v>5.786098112859802E-2</v>
      </c>
      <c r="C56" s="52">
        <v>0.29454359651533807</v>
      </c>
      <c r="D56" s="52">
        <v>0.49748481021283258</v>
      </c>
      <c r="E56" s="52">
        <v>0.18404838956462904</v>
      </c>
      <c r="F56" s="52">
        <v>9.4847700746906849E-2</v>
      </c>
      <c r="G56" s="52">
        <v>5.4856756357517356E-2</v>
      </c>
      <c r="H56" s="52">
        <v>9.247130703570515E-2</v>
      </c>
      <c r="I56" s="119">
        <v>385.00517346095461</v>
      </c>
    </row>
    <row r="57" spans="1:9" x14ac:dyDescent="0.3">
      <c r="A57" s="118">
        <v>39</v>
      </c>
      <c r="B57" s="52">
        <v>6.270912138986609E-2</v>
      </c>
      <c r="C57" s="52">
        <v>0.30204523173293907</v>
      </c>
      <c r="D57" s="52">
        <v>0.59234117973836853</v>
      </c>
      <c r="E57" s="52">
        <v>0.20610145141825051</v>
      </c>
      <c r="F57" s="52">
        <v>8.5170034765392422E-2</v>
      </c>
      <c r="G57" s="52">
        <v>4.4991502260366308E-2</v>
      </c>
      <c r="H57" s="52">
        <v>0.11678413076338054</v>
      </c>
      <c r="I57" s="119">
        <v>447.41216136054408</v>
      </c>
    </row>
    <row r="58" spans="1:9" x14ac:dyDescent="0.3">
      <c r="A58" s="118">
        <v>40</v>
      </c>
      <c r="B58" s="52">
        <v>5.1606258459054768E-2</v>
      </c>
      <c r="C58" s="52">
        <v>0.27494715683946547</v>
      </c>
      <c r="D58" s="52">
        <v>0.54987204316837457</v>
      </c>
      <c r="E58" s="52">
        <v>0.19463028409576905</v>
      </c>
      <c r="F58" s="52">
        <v>8.482039898380013E-2</v>
      </c>
      <c r="G58" s="52">
        <v>4.3293159590526945E-2</v>
      </c>
      <c r="H58" s="52">
        <v>9.8007486224197027E-2</v>
      </c>
      <c r="I58" s="119">
        <v>296.26927040270749</v>
      </c>
    </row>
    <row r="59" spans="1:9" x14ac:dyDescent="0.3">
      <c r="A59" s="118">
        <v>41</v>
      </c>
      <c r="B59" s="52">
        <v>5.5031793613667356E-2</v>
      </c>
      <c r="C59" s="52">
        <v>0.26120646087883181</v>
      </c>
      <c r="D59" s="52">
        <v>0.46681368606068335</v>
      </c>
      <c r="E59" s="52">
        <v>0.20002441291990847</v>
      </c>
      <c r="F59" s="52">
        <v>9.7726964836643504E-2</v>
      </c>
      <c r="G59" s="52">
        <v>4.9256965062304675E-2</v>
      </c>
      <c r="H59" s="52">
        <v>8.4243093700027707E-2</v>
      </c>
      <c r="I59" s="119">
        <v>168.46135464079489</v>
      </c>
    </row>
    <row r="60" spans="1:9" x14ac:dyDescent="0.3">
      <c r="A60" s="118">
        <v>42</v>
      </c>
      <c r="B60" s="52">
        <v>8.2565504315166571E-2</v>
      </c>
      <c r="C60" s="52">
        <v>0.30159571884493869</v>
      </c>
      <c r="D60" s="52">
        <v>0.49096775164529249</v>
      </c>
      <c r="E60" s="52">
        <v>0.18830818518566378</v>
      </c>
      <c r="F60" s="52">
        <v>9.7109940810666776E-2</v>
      </c>
      <c r="G60" s="52">
        <v>5.5344695914247913E-2</v>
      </c>
      <c r="H60" s="52">
        <v>0.12239765264133803</v>
      </c>
      <c r="I60" s="119">
        <v>444.95978675732431</v>
      </c>
    </row>
    <row r="61" spans="1:9" x14ac:dyDescent="0.3">
      <c r="A61" s="118">
        <v>43</v>
      </c>
      <c r="B61" s="52">
        <v>7.1162005297925573E-2</v>
      </c>
      <c r="C61" s="52">
        <v>0.288918865817339</v>
      </c>
      <c r="D61" s="52">
        <v>0.57782064949422174</v>
      </c>
      <c r="E61" s="52">
        <v>0.18928398607292973</v>
      </c>
      <c r="F61" s="52">
        <v>9.2547162360080509E-2</v>
      </c>
      <c r="G61" s="52">
        <v>6.8709089888032815E-2</v>
      </c>
      <c r="H61" s="52">
        <v>9.8593765111771564E-2</v>
      </c>
      <c r="I61" s="119">
        <v>782.69559910075623</v>
      </c>
    </row>
    <row r="62" spans="1:9" x14ac:dyDescent="0.3">
      <c r="A62" s="118">
        <v>44</v>
      </c>
      <c r="B62" s="52">
        <v>5.6756350803162423E-2</v>
      </c>
      <c r="C62" s="52">
        <v>0.29045489190533269</v>
      </c>
      <c r="D62" s="52">
        <v>0.43186469071524025</v>
      </c>
      <c r="E62" s="52">
        <v>0.19327027885722908</v>
      </c>
      <c r="F62" s="52">
        <v>9.7836462212669742E-2</v>
      </c>
      <c r="G62" s="52">
        <v>4.5837738618474774E-2</v>
      </c>
      <c r="H62" s="52">
        <v>0.11318736789761213</v>
      </c>
      <c r="I62" s="119">
        <v>237.79648843368207</v>
      </c>
    </row>
    <row r="63" spans="1:9" x14ac:dyDescent="0.3">
      <c r="A63" s="118">
        <v>45</v>
      </c>
      <c r="B63" s="52">
        <v>7.3103886054605147E-2</v>
      </c>
      <c r="C63" s="52">
        <v>0.29160330673324825</v>
      </c>
      <c r="D63" s="52">
        <v>0.54245918393624315</v>
      </c>
      <c r="E63" s="52">
        <v>0.17738125968615218</v>
      </c>
      <c r="F63" s="52">
        <v>0.10472917732320436</v>
      </c>
      <c r="G63" s="52">
        <v>4.7852781585307702E-2</v>
      </c>
      <c r="H63" s="52">
        <v>0.11295234975908389</v>
      </c>
      <c r="I63" s="119">
        <v>222.93208493140691</v>
      </c>
    </row>
    <row r="64" spans="1:9" x14ac:dyDescent="0.3">
      <c r="A64" s="118">
        <v>46</v>
      </c>
      <c r="B64" s="52">
        <v>5.4237708478258193E-2</v>
      </c>
      <c r="C64" s="52">
        <v>0.26833103792809404</v>
      </c>
      <c r="D64" s="52">
        <v>0.4479341198762305</v>
      </c>
      <c r="E64" s="52">
        <v>0.17958330980444165</v>
      </c>
      <c r="F64" s="52">
        <v>8.923458294672254E-2</v>
      </c>
      <c r="G64" s="52">
        <v>4.8546021483557911E-2</v>
      </c>
      <c r="H64" s="52">
        <v>0.11548351329044801</v>
      </c>
      <c r="I64" s="119">
        <v>277.00100157681317</v>
      </c>
    </row>
    <row r="65" spans="1:9" x14ac:dyDescent="0.3">
      <c r="A65" s="118">
        <v>47</v>
      </c>
      <c r="B65" s="52">
        <v>7.0785759584989713E-2</v>
      </c>
      <c r="C65" s="52">
        <v>0.26955318271224615</v>
      </c>
      <c r="D65" s="52">
        <v>0.4668224538192019</v>
      </c>
      <c r="E65" s="52">
        <v>0.20647159525804848</v>
      </c>
      <c r="F65" s="52">
        <v>0.10255897511064772</v>
      </c>
      <c r="G65" s="52">
        <v>4.399091273117859E-2</v>
      </c>
      <c r="H65" s="52">
        <v>0.10465234047196184</v>
      </c>
      <c r="I65" s="119">
        <v>146.14596500175247</v>
      </c>
    </row>
    <row r="66" spans="1:9" x14ac:dyDescent="0.3">
      <c r="A66" s="118">
        <v>48</v>
      </c>
      <c r="B66" s="52">
        <v>7.7588160780668269E-2</v>
      </c>
      <c r="C66" s="52">
        <v>0.3029121053990429</v>
      </c>
      <c r="D66" s="52">
        <v>0.49417350136754007</v>
      </c>
      <c r="E66" s="52">
        <v>0.1936326793917563</v>
      </c>
      <c r="F66" s="52">
        <v>0.10342508304326106</v>
      </c>
      <c r="G66" s="52">
        <v>7.8264925721091408E-2</v>
      </c>
      <c r="H66" s="52">
        <v>0.10742103148244933</v>
      </c>
      <c r="I66" s="119">
        <v>807.40987760855535</v>
      </c>
    </row>
    <row r="67" spans="1:9" x14ac:dyDescent="0.3">
      <c r="A67" s="118">
        <v>49</v>
      </c>
      <c r="B67" s="52">
        <v>5.3144266397912567E-2</v>
      </c>
      <c r="C67" s="52">
        <v>0.27330615878989334</v>
      </c>
      <c r="D67" s="52">
        <v>0.54885712525078134</v>
      </c>
      <c r="E67" s="52">
        <v>0.21322801282213547</v>
      </c>
      <c r="F67" s="52">
        <v>0.10474388756503029</v>
      </c>
      <c r="G67" s="52">
        <v>7.3741275117481644E-2</v>
      </c>
      <c r="H67" s="52">
        <v>0.10712332497069024</v>
      </c>
      <c r="I67" s="119">
        <v>404.85683778141015</v>
      </c>
    </row>
    <row r="68" spans="1:9" x14ac:dyDescent="0.3">
      <c r="A68" s="118">
        <v>50</v>
      </c>
      <c r="B68" s="52">
        <v>5.2441894204674169E-2</v>
      </c>
      <c r="C68" s="52">
        <v>0.26675812720972203</v>
      </c>
      <c r="D68" s="52">
        <v>0.75743046635240918</v>
      </c>
      <c r="E68" s="52">
        <v>0.20601980159696376</v>
      </c>
      <c r="F68" s="52">
        <v>0.10487486644846532</v>
      </c>
      <c r="G68" s="52">
        <v>7.1304045850196687E-2</v>
      </c>
      <c r="H68" s="52">
        <v>0.10174303177305824</v>
      </c>
      <c r="I68" s="119">
        <v>329.88055839242384</v>
      </c>
    </row>
    <row r="69" spans="1:9" x14ac:dyDescent="0.3">
      <c r="A69" s="23">
        <v>51</v>
      </c>
      <c r="B69" s="52">
        <v>5.8578337582395848E-2</v>
      </c>
      <c r="C69" s="52">
        <v>0.27423065987252521</v>
      </c>
      <c r="D69" s="52">
        <v>0.51912541825591851</v>
      </c>
      <c r="E69" s="52">
        <v>0.19839000386864003</v>
      </c>
      <c r="F69" s="52">
        <v>0.10110463161523203</v>
      </c>
      <c r="G69" s="52">
        <v>6.128438416285524E-2</v>
      </c>
      <c r="H69" s="52">
        <v>0.10736997191881048</v>
      </c>
      <c r="I69" s="119">
        <v>296.38749792282175</v>
      </c>
    </row>
    <row r="70" spans="1:9" x14ac:dyDescent="0.3">
      <c r="A70" s="23">
        <v>52</v>
      </c>
      <c r="B70" s="52">
        <v>5.3024358713096686E-2</v>
      </c>
      <c r="C70" s="52">
        <v>0.30037436357403918</v>
      </c>
      <c r="D70" s="52">
        <v>0.53189438024594071</v>
      </c>
      <c r="E70" s="52">
        <v>0.18565102542392845</v>
      </c>
      <c r="F70" s="52">
        <v>8.868855107504324E-2</v>
      </c>
      <c r="G70" s="52">
        <v>6.852347033495515E-2</v>
      </c>
      <c r="H70" s="52">
        <v>0.10632511809707559</v>
      </c>
      <c r="I70" s="119">
        <v>972.86025945190795</v>
      </c>
    </row>
    <row r="71" spans="1:9" x14ac:dyDescent="0.3">
      <c r="A71" s="23">
        <v>53</v>
      </c>
      <c r="B71" s="52">
        <v>5.9240139167061293E-2</v>
      </c>
      <c r="C71" s="52">
        <v>0.29417244681442406</v>
      </c>
      <c r="D71" s="52">
        <v>0.68885995852802329</v>
      </c>
      <c r="E71" s="52">
        <v>0.213484588431441</v>
      </c>
      <c r="F71" s="52">
        <v>9.9273147232671527E-2</v>
      </c>
      <c r="G71" s="52">
        <v>4.5964344754171757E-2</v>
      </c>
      <c r="H71" s="52">
        <v>0.10617294100813439</v>
      </c>
      <c r="I71" s="119">
        <v>241.21248316071322</v>
      </c>
    </row>
    <row r="72" spans="1:9" x14ac:dyDescent="0.3">
      <c r="A72" s="23">
        <v>54</v>
      </c>
      <c r="B72" s="52">
        <v>6.5562341205181618E-2</v>
      </c>
      <c r="C72" s="52">
        <v>0.30785397854585073</v>
      </c>
      <c r="D72" s="52">
        <v>0.48312587035155696</v>
      </c>
      <c r="E72" s="52">
        <v>0.18338448977491317</v>
      </c>
      <c r="F72" s="52">
        <v>9.744908554012402E-2</v>
      </c>
      <c r="G72" s="52">
        <v>5.9797881080837487E-2</v>
      </c>
      <c r="H72" s="52">
        <v>0.10316464236861481</v>
      </c>
      <c r="I72" s="119">
        <v>489.50956826220852</v>
      </c>
    </row>
    <row r="73" spans="1:9" x14ac:dyDescent="0.3">
      <c r="A73" s="23">
        <v>55</v>
      </c>
      <c r="B73" s="52">
        <v>6.3022902123079844E-2</v>
      </c>
      <c r="C73" s="52">
        <v>0.29801629753121406</v>
      </c>
      <c r="D73" s="52">
        <v>0.6273304015072666</v>
      </c>
      <c r="E73" s="52">
        <v>0.19585148515354336</v>
      </c>
      <c r="F73" s="52">
        <v>9.5880399360074212E-2</v>
      </c>
      <c r="G73" s="52">
        <v>6.8796895664680252E-2</v>
      </c>
      <c r="H73" s="52">
        <v>0.10307720261625773</v>
      </c>
      <c r="I73" s="119">
        <v>682.04909273321357</v>
      </c>
    </row>
    <row r="74" spans="1:9" x14ac:dyDescent="0.3">
      <c r="A74" s="23">
        <v>56</v>
      </c>
      <c r="B74" s="52">
        <v>6.3682509060614623E-2</v>
      </c>
      <c r="C74" s="52">
        <v>0.27801844797617603</v>
      </c>
      <c r="D74" s="52">
        <v>0.51107776519050185</v>
      </c>
      <c r="E74" s="52">
        <v>0.17814311094029459</v>
      </c>
      <c r="F74" s="52">
        <v>0.10321112520409123</v>
      </c>
      <c r="G74" s="52">
        <v>4.9187973468253224E-2</v>
      </c>
      <c r="H74" s="52">
        <v>0.11413334445251483</v>
      </c>
      <c r="I74" s="119">
        <v>187.92015845266468</v>
      </c>
    </row>
    <row r="75" spans="1:9" x14ac:dyDescent="0.3">
      <c r="A75" s="23">
        <v>57</v>
      </c>
      <c r="B75" s="52">
        <v>5.301901124098015E-2</v>
      </c>
      <c r="C75" s="52">
        <v>0.28480026749776349</v>
      </c>
      <c r="D75" s="52">
        <v>0.71299016672526805</v>
      </c>
      <c r="E75" s="52">
        <v>0.19356820549773904</v>
      </c>
      <c r="F75" s="52">
        <v>9.7436806044671698E-2</v>
      </c>
      <c r="G75" s="52">
        <v>5.0152841734685011E-2</v>
      </c>
      <c r="H75" s="52">
        <v>9.6743574490740891E-2</v>
      </c>
      <c r="I75" s="119">
        <v>253.01882381006897</v>
      </c>
    </row>
    <row r="76" spans="1:9" x14ac:dyDescent="0.3">
      <c r="A76" s="23">
        <v>58</v>
      </c>
      <c r="B76" s="52">
        <v>4.6617612374755882E-2</v>
      </c>
      <c r="C76" s="52">
        <v>0.25198787997064226</v>
      </c>
      <c r="D76" s="52">
        <v>0.57137683436578568</v>
      </c>
      <c r="E76" s="52">
        <v>0.19746033059207796</v>
      </c>
      <c r="F76" s="52">
        <v>0.10004049848956742</v>
      </c>
      <c r="G76" s="52">
        <v>4.5461684677024473E-2</v>
      </c>
      <c r="H76" s="52">
        <v>8.9838466276216902E-2</v>
      </c>
      <c r="I76" s="119">
        <v>88.726059998502677</v>
      </c>
    </row>
    <row r="77" spans="1:9" x14ac:dyDescent="0.3">
      <c r="A77" s="23">
        <v>59</v>
      </c>
      <c r="B77" s="52">
        <v>6.9990184517213214E-2</v>
      </c>
      <c r="C77" s="52">
        <v>0.29387342591100324</v>
      </c>
      <c r="D77" s="52">
        <v>0.53580863971003589</v>
      </c>
      <c r="E77" s="52">
        <v>0.19288182552910463</v>
      </c>
      <c r="F77" s="52">
        <v>8.7831316811013721E-2</v>
      </c>
      <c r="G77" s="52">
        <v>6.6780024921386724E-2</v>
      </c>
      <c r="H77" s="52">
        <v>0.12136748833366189</v>
      </c>
      <c r="I77" s="119">
        <v>960.39358052666682</v>
      </c>
    </row>
    <row r="78" spans="1:9" x14ac:dyDescent="0.3">
      <c r="A78" s="23">
        <v>60</v>
      </c>
      <c r="B78" s="52">
        <v>7.4852245505306655E-2</v>
      </c>
      <c r="C78" s="52">
        <v>0.2720079745702515</v>
      </c>
      <c r="D78" s="52">
        <v>0.47909232646946265</v>
      </c>
      <c r="E78" s="52">
        <v>0.18869748693902696</v>
      </c>
      <c r="F78" s="52">
        <v>0.10225834739826369</v>
      </c>
      <c r="G78" s="52">
        <v>5.2045274513929526E-2</v>
      </c>
      <c r="H78" s="52">
        <v>0.10567227170706726</v>
      </c>
      <c r="I78" s="119">
        <v>215.7128663359284</v>
      </c>
    </row>
    <row r="79" spans="1:9" x14ac:dyDescent="0.3">
      <c r="A79" s="23">
        <v>61</v>
      </c>
      <c r="B79" s="52">
        <v>7.1117451071959131E-2</v>
      </c>
      <c r="C79" s="52">
        <v>0.28093527181732036</v>
      </c>
      <c r="D79" s="52">
        <v>0.65426339563948654</v>
      </c>
      <c r="E79" s="52">
        <v>0.1929039503980719</v>
      </c>
      <c r="F79" s="52">
        <v>9.3017391844313568E-2</v>
      </c>
      <c r="G79" s="52">
        <v>5.760211055265152E-2</v>
      </c>
      <c r="H79" s="52">
        <v>0.10630903819778045</v>
      </c>
      <c r="I79" s="119">
        <v>433.64995153873457</v>
      </c>
    </row>
    <row r="80" spans="1:9" x14ac:dyDescent="0.3">
      <c r="A80" s="23">
        <v>62</v>
      </c>
      <c r="B80" s="52">
        <v>8.1258544673787278E-2</v>
      </c>
      <c r="C80" s="52">
        <v>0.27228584455058197</v>
      </c>
      <c r="D80" s="52">
        <v>0.68032850520665777</v>
      </c>
      <c r="E80" s="52">
        <v>0.18043722394384598</v>
      </c>
      <c r="F80" s="52">
        <v>9.3289891818236173E-2</v>
      </c>
      <c r="G80" s="52">
        <v>5.2286919694276304E-2</v>
      </c>
      <c r="H80" s="52">
        <v>0.10614736355497392</v>
      </c>
      <c r="I80" s="119">
        <v>336.17469420444553</v>
      </c>
    </row>
    <row r="81" spans="1:9" x14ac:dyDescent="0.3">
      <c r="A81" s="23">
        <v>63</v>
      </c>
      <c r="B81" s="52">
        <v>8.4729531209065789E-2</v>
      </c>
      <c r="C81" s="52">
        <v>0.27698496069704803</v>
      </c>
      <c r="D81" s="52">
        <v>0.551824053713736</v>
      </c>
      <c r="E81" s="52">
        <v>0.20672870668706067</v>
      </c>
      <c r="F81" s="52">
        <v>9.7763152455926497E-2</v>
      </c>
      <c r="G81" s="52">
        <v>4.2209019406859276E-2</v>
      </c>
      <c r="H81" s="52">
        <v>9.7372485767014322E-2</v>
      </c>
      <c r="I81" s="119">
        <v>216.44935325829027</v>
      </c>
    </row>
    <row r="82" spans="1:9" x14ac:dyDescent="0.3">
      <c r="A82" s="23">
        <v>64</v>
      </c>
      <c r="B82" s="52">
        <v>4.9564834208195102E-2</v>
      </c>
      <c r="C82" s="52">
        <v>0.2723855521144708</v>
      </c>
      <c r="D82" s="52">
        <v>0.50095642785824535</v>
      </c>
      <c r="E82" s="52">
        <v>0.19853080309702986</v>
      </c>
      <c r="F82" s="52">
        <v>9.4928851939858838E-2</v>
      </c>
      <c r="G82" s="52">
        <v>6.8671665288469241E-2</v>
      </c>
      <c r="H82" s="52">
        <v>0.11650922221467226</v>
      </c>
      <c r="I82" s="119">
        <v>521.55045018185683</v>
      </c>
    </row>
    <row r="83" spans="1:9" x14ac:dyDescent="0.3">
      <c r="A83" s="23">
        <v>65</v>
      </c>
      <c r="B83" s="52">
        <v>6.856364389856312E-2</v>
      </c>
      <c r="C83" s="52">
        <v>0.29013841007747126</v>
      </c>
      <c r="D83" s="52">
        <v>0.66911335675011852</v>
      </c>
      <c r="E83" s="52">
        <v>0.19187177681305156</v>
      </c>
      <c r="F83" s="52">
        <v>9.7337795754743231E-2</v>
      </c>
      <c r="G83" s="52">
        <v>5.7400527999331194E-2</v>
      </c>
      <c r="H83" s="52">
        <v>0.11095126306323097</v>
      </c>
      <c r="I83" s="119">
        <v>388.0481744846154</v>
      </c>
    </row>
    <row r="84" spans="1:9" x14ac:dyDescent="0.3">
      <c r="A84" s="23">
        <v>66</v>
      </c>
      <c r="B84" s="52">
        <v>6.9065938410923483E-2</v>
      </c>
      <c r="C84" s="52">
        <v>0.27468407095860331</v>
      </c>
      <c r="D84" s="52">
        <v>0.5173446395085145</v>
      </c>
      <c r="E84" s="52">
        <v>0.19090296620543523</v>
      </c>
      <c r="F84" s="52">
        <v>9.2961940123875195E-2</v>
      </c>
      <c r="G84" s="52">
        <v>5.1061346398041663E-2</v>
      </c>
      <c r="H84" s="52">
        <v>9.0284762708882138E-2</v>
      </c>
      <c r="I84" s="119">
        <v>310.64820232931521</v>
      </c>
    </row>
    <row r="85" spans="1:9" x14ac:dyDescent="0.3">
      <c r="A85" s="23">
        <v>67</v>
      </c>
      <c r="B85" s="52">
        <v>6.8965106550665373E-2</v>
      </c>
      <c r="C85" s="52">
        <v>0.29656324080218077</v>
      </c>
      <c r="D85" s="52">
        <v>0.66702764623277233</v>
      </c>
      <c r="E85" s="52">
        <v>0.19830042066690487</v>
      </c>
      <c r="F85" s="52">
        <v>9.3150821320746299E-2</v>
      </c>
      <c r="G85" s="52">
        <v>4.0073526577697E-2</v>
      </c>
      <c r="H85" s="52">
        <v>0.11823593040319069</v>
      </c>
      <c r="I85" s="119">
        <v>279.59928661598332</v>
      </c>
    </row>
    <row r="86" spans="1:9" x14ac:dyDescent="0.3">
      <c r="A86" s="23">
        <v>68</v>
      </c>
      <c r="B86" s="52">
        <v>6.6543504111863813E-2</v>
      </c>
      <c r="C86" s="52">
        <v>0.28178182864187223</v>
      </c>
      <c r="D86" s="52">
        <v>0.54142128774780796</v>
      </c>
      <c r="E86" s="52">
        <v>0.18047750150135852</v>
      </c>
      <c r="F86" s="52">
        <v>8.4287195433705955E-2</v>
      </c>
      <c r="G86" s="52">
        <v>6.1502235853262741E-2</v>
      </c>
      <c r="H86" s="52">
        <v>0.1178347028278664</v>
      </c>
      <c r="I86" s="119">
        <v>789.13743737967638</v>
      </c>
    </row>
    <row r="87" spans="1:9" x14ac:dyDescent="0.3">
      <c r="A87" s="23">
        <v>69</v>
      </c>
      <c r="B87" s="52">
        <v>6.6966622756623323E-2</v>
      </c>
      <c r="C87" s="52">
        <v>0.28898575637968543</v>
      </c>
      <c r="D87" s="52">
        <v>0.72176408544273507</v>
      </c>
      <c r="E87" s="52">
        <v>0.19799860359490795</v>
      </c>
      <c r="F87" s="52">
        <v>8.2687789892966199E-2</v>
      </c>
      <c r="G87" s="52">
        <v>4.2463081117391221E-2</v>
      </c>
      <c r="H87" s="52">
        <v>0.11686622661856585</v>
      </c>
      <c r="I87" s="119">
        <v>408.58244375648292</v>
      </c>
    </row>
    <row r="88" spans="1:9" x14ac:dyDescent="0.3">
      <c r="A88" s="23">
        <v>70</v>
      </c>
      <c r="B88" s="52">
        <v>4.5187091126775859E-2</v>
      </c>
      <c r="C88" s="52">
        <v>0.2625127063471101</v>
      </c>
      <c r="D88" s="52">
        <v>0.52705629977289725</v>
      </c>
      <c r="E88" s="52">
        <v>0.19745472862924612</v>
      </c>
      <c r="F88" s="52">
        <v>9.3953991129668069E-2</v>
      </c>
      <c r="G88" s="52">
        <v>5.1372253179568506E-2</v>
      </c>
      <c r="H88" s="52">
        <v>9.5721040322959389E-2</v>
      </c>
      <c r="I88" s="119">
        <v>211.57378052277647</v>
      </c>
    </row>
    <row r="89" spans="1:9" x14ac:dyDescent="0.3">
      <c r="A89" s="23">
        <v>71</v>
      </c>
      <c r="B89" s="52">
        <v>6.2066007819289067E-2</v>
      </c>
      <c r="C89" s="52">
        <v>0.27347571659752334</v>
      </c>
      <c r="D89" s="52">
        <v>0.46266570301886295</v>
      </c>
      <c r="E89" s="52">
        <v>0.19143658462981719</v>
      </c>
      <c r="F89" s="52">
        <v>8.875231813605193E-2</v>
      </c>
      <c r="G89" s="52">
        <v>4.4882040295724991E-2</v>
      </c>
      <c r="H89" s="52">
        <v>0.10155047395098321</v>
      </c>
      <c r="I89" s="119">
        <v>278.46323173022711</v>
      </c>
    </row>
    <row r="90" spans="1:9" x14ac:dyDescent="0.3">
      <c r="A90" s="23">
        <v>72</v>
      </c>
      <c r="B90" s="52">
        <v>6.0411328181822349E-2</v>
      </c>
      <c r="C90" s="52">
        <v>0.24965061585001053</v>
      </c>
      <c r="D90" s="52">
        <v>0.52784401909221645</v>
      </c>
      <c r="E90" s="52">
        <v>0.19692465012532645</v>
      </c>
      <c r="F90" s="52">
        <v>8.5365059732788406E-2</v>
      </c>
      <c r="G90" s="52">
        <v>4.6021276456140937E-2</v>
      </c>
      <c r="H90" s="52">
        <v>0.11780900922600537</v>
      </c>
      <c r="I90" s="119">
        <v>234.47541484651853</v>
      </c>
    </row>
    <row r="91" spans="1:9" x14ac:dyDescent="0.3">
      <c r="A91" s="23">
        <v>73</v>
      </c>
      <c r="B91" s="52">
        <v>7.9573951736394893E-2</v>
      </c>
      <c r="C91" s="52">
        <v>0.29229659696083377</v>
      </c>
      <c r="D91" s="52">
        <v>0.48914314702855394</v>
      </c>
      <c r="E91" s="52">
        <v>0.21165529738580593</v>
      </c>
      <c r="F91" s="52">
        <v>8.8131373426705142E-2</v>
      </c>
      <c r="G91" s="52">
        <v>4.3090617424889302E-2</v>
      </c>
      <c r="H91" s="52">
        <v>0.10157729331041432</v>
      </c>
      <c r="I91" s="119">
        <v>377.04555746649055</v>
      </c>
    </row>
    <row r="92" spans="1:9" x14ac:dyDescent="0.3">
      <c r="A92" s="23">
        <v>74</v>
      </c>
      <c r="B92" s="52">
        <v>5.9103717469439168E-2</v>
      </c>
      <c r="C92" s="52">
        <v>0.28236847602288417</v>
      </c>
      <c r="D92" s="52">
        <v>0.50258851588712927</v>
      </c>
      <c r="E92" s="52">
        <v>0.18002899604104927</v>
      </c>
      <c r="F92" s="52">
        <v>9.1814490369802146E-2</v>
      </c>
      <c r="G92" s="52">
        <v>6.1117996651034838E-2</v>
      </c>
      <c r="H92" s="52">
        <v>8.524465458826759E-2</v>
      </c>
      <c r="I92" s="119">
        <v>502.76540390741559</v>
      </c>
    </row>
    <row r="93" spans="1:9" x14ac:dyDescent="0.3">
      <c r="A93" s="23">
        <v>75</v>
      </c>
      <c r="B93" s="52">
        <v>7.4264840841295157E-2</v>
      </c>
      <c r="C93" s="52">
        <v>0.28772119704707422</v>
      </c>
      <c r="D93" s="52">
        <v>0.52228967886859634</v>
      </c>
      <c r="E93" s="52">
        <v>0.20390033350229483</v>
      </c>
      <c r="F93" s="52">
        <v>8.6155399725352105E-2</v>
      </c>
      <c r="G93" s="52">
        <v>3.7275036011916271E-2</v>
      </c>
      <c r="H93" s="52">
        <v>0.10357388788447547</v>
      </c>
      <c r="I93" s="119">
        <v>310.51576295793291</v>
      </c>
    </row>
    <row r="94" spans="1:9" x14ac:dyDescent="0.3">
      <c r="A94" s="23">
        <v>76</v>
      </c>
      <c r="B94" s="52">
        <v>5.2824604005128249E-2</v>
      </c>
      <c r="C94" s="52">
        <v>0.29989410708504799</v>
      </c>
      <c r="D94" s="52">
        <v>0.63495571436046139</v>
      </c>
      <c r="E94" s="52">
        <v>0.18011469921788731</v>
      </c>
      <c r="F94" s="52">
        <v>0.104091878226982</v>
      </c>
      <c r="G94" s="52">
        <v>4.0993527549558421E-2</v>
      </c>
      <c r="H94" s="52">
        <v>0.11677841939643244</v>
      </c>
      <c r="I94" s="119">
        <v>175.96383725141834</v>
      </c>
    </row>
    <row r="95" spans="1:9" x14ac:dyDescent="0.3">
      <c r="A95" s="23">
        <v>77</v>
      </c>
      <c r="B95" s="52">
        <v>7.0227271653474421E-2</v>
      </c>
      <c r="C95" s="52">
        <v>0.28879152232971078</v>
      </c>
      <c r="D95" s="52">
        <v>0.65561025365396886</v>
      </c>
      <c r="E95" s="52">
        <v>0.18449882440896129</v>
      </c>
      <c r="F95" s="52">
        <v>0.10303070533857495</v>
      </c>
      <c r="G95" s="52">
        <v>6.5110791852640265E-2</v>
      </c>
      <c r="H95" s="52">
        <v>0.10593202382741283</v>
      </c>
      <c r="I95" s="119">
        <v>402.88701755407635</v>
      </c>
    </row>
    <row r="96" spans="1:9" x14ac:dyDescent="0.3">
      <c r="A96" s="23">
        <v>78</v>
      </c>
      <c r="B96" s="52">
        <v>6.8285577340501905E-2</v>
      </c>
      <c r="C96" s="52">
        <v>0.27540743536895751</v>
      </c>
      <c r="D96" s="52">
        <v>0.45050480725970471</v>
      </c>
      <c r="E96" s="52">
        <v>0.18710465936641507</v>
      </c>
      <c r="F96" s="52">
        <v>9.6645341079105065E-2</v>
      </c>
      <c r="G96" s="52">
        <v>4.9239859751494197E-2</v>
      </c>
      <c r="H96" s="52">
        <v>9.4284801160364556E-2</v>
      </c>
      <c r="I96" s="119">
        <v>249.01693914558308</v>
      </c>
    </row>
    <row r="97" spans="1:9" x14ac:dyDescent="0.3">
      <c r="A97" s="23">
        <v>79</v>
      </c>
      <c r="B97" s="52">
        <v>5.6853197313469495E-2</v>
      </c>
      <c r="C97" s="52">
        <v>0.28450928606132575</v>
      </c>
      <c r="D97" s="52">
        <v>0.58565303194020291</v>
      </c>
      <c r="E97" s="52">
        <v>0.17085916450238697</v>
      </c>
      <c r="F97" s="52">
        <v>8.1727560359423676E-2</v>
      </c>
      <c r="G97" s="52">
        <v>3.9870568303578782E-2</v>
      </c>
      <c r="H97" s="52">
        <v>0.11825469242111311</v>
      </c>
      <c r="I97" s="119">
        <v>347.00478379417865</v>
      </c>
    </row>
    <row r="98" spans="1:9" x14ac:dyDescent="0.3">
      <c r="A98" s="23">
        <v>80</v>
      </c>
      <c r="B98" s="52">
        <v>4.9870339520228124E-2</v>
      </c>
      <c r="C98" s="52">
        <v>0.288116459038467</v>
      </c>
      <c r="D98" s="52">
        <v>0.52448906528431793</v>
      </c>
      <c r="E98" s="52">
        <v>0.2019957121586177</v>
      </c>
      <c r="F98" s="52">
        <v>0.10042324728293611</v>
      </c>
      <c r="G98" s="52">
        <v>4.6390432256406655E-2</v>
      </c>
      <c r="H98" s="52">
        <v>0.11803622159719304</v>
      </c>
      <c r="I98" s="119">
        <v>199.84087726574251</v>
      </c>
    </row>
    <row r="99" spans="1:9" x14ac:dyDescent="0.3">
      <c r="A99" s="23">
        <v>81</v>
      </c>
      <c r="B99" s="52">
        <v>7.7283257440802916E-2</v>
      </c>
      <c r="C99" s="52">
        <v>0.29020577442613071</v>
      </c>
      <c r="D99" s="52">
        <v>0.72586796175950419</v>
      </c>
      <c r="E99" s="52">
        <v>0.15483348778329686</v>
      </c>
      <c r="F99" s="52">
        <v>9.7047518979394676E-2</v>
      </c>
      <c r="G99" s="52">
        <v>5.484645410977719E-2</v>
      </c>
      <c r="H99" s="52">
        <v>0.11569364270224222</v>
      </c>
      <c r="I99" s="119">
        <v>379.10730275996201</v>
      </c>
    </row>
    <row r="100" spans="1:9" x14ac:dyDescent="0.3">
      <c r="A100" s="23">
        <v>82</v>
      </c>
      <c r="B100" s="52">
        <v>5.2623683276630126E-2</v>
      </c>
      <c r="C100" s="52">
        <v>0.30166763885544778</v>
      </c>
      <c r="D100" s="52">
        <v>0.50792142425085318</v>
      </c>
      <c r="E100" s="52">
        <v>0.18140905219980416</v>
      </c>
      <c r="F100" s="52">
        <v>7.9437320336382553E-2</v>
      </c>
      <c r="G100" s="52">
        <v>4.9295366163931792E-2</v>
      </c>
      <c r="H100" s="52">
        <v>0.11663369921753736</v>
      </c>
      <c r="I100" s="119">
        <v>630.80447402544837</v>
      </c>
    </row>
    <row r="101" spans="1:9" x14ac:dyDescent="0.3">
      <c r="A101" s="23">
        <v>83</v>
      </c>
      <c r="B101" s="52">
        <v>5.9831533226265471E-2</v>
      </c>
      <c r="C101" s="52">
        <v>0.30829944380161023</v>
      </c>
      <c r="D101" s="52">
        <v>0.53698121088362361</v>
      </c>
      <c r="E101" s="52">
        <v>0.162142744734837</v>
      </c>
      <c r="F101" s="52">
        <v>9.7096774714977893E-2</v>
      </c>
      <c r="G101" s="52">
        <v>5.3688974425856087E-2</v>
      </c>
      <c r="H101" s="52">
        <v>8.9357275045500534E-2</v>
      </c>
      <c r="I101" s="119">
        <v>392.02271410402074</v>
      </c>
    </row>
    <row r="102" spans="1:9" x14ac:dyDescent="0.3">
      <c r="A102" s="23">
        <v>84</v>
      </c>
      <c r="B102" s="52">
        <v>6.0795565759143508E-2</v>
      </c>
      <c r="C102" s="52">
        <v>0.27738800632476041</v>
      </c>
      <c r="D102" s="52">
        <v>0.49948668003659064</v>
      </c>
      <c r="E102" s="52">
        <v>0.203592470589327</v>
      </c>
      <c r="F102" s="52">
        <v>9.3213982357633923E-2</v>
      </c>
      <c r="G102" s="52">
        <v>4.9600700467191366E-2</v>
      </c>
      <c r="H102" s="52">
        <v>9.8334576388578052E-2</v>
      </c>
      <c r="I102" s="119">
        <v>285.12365378109945</v>
      </c>
    </row>
    <row r="103" spans="1:9" x14ac:dyDescent="0.3">
      <c r="A103" s="23">
        <v>85</v>
      </c>
      <c r="B103" s="52">
        <v>5.8482616227077538E-2</v>
      </c>
      <c r="C103" s="52">
        <v>0.29730234731568717</v>
      </c>
      <c r="D103" s="52">
        <v>0.46788261806644105</v>
      </c>
      <c r="E103" s="52">
        <v>0.22393197413046184</v>
      </c>
      <c r="F103" s="52">
        <v>0.1032330237977034</v>
      </c>
      <c r="G103" s="52">
        <v>3.3213001966141617E-2</v>
      </c>
      <c r="H103" s="52">
        <v>0.10150392479909583</v>
      </c>
      <c r="I103" s="119">
        <v>145.14195739211718</v>
      </c>
    </row>
    <row r="104" spans="1:9" x14ac:dyDescent="0.3">
      <c r="A104" s="23">
        <v>86</v>
      </c>
      <c r="B104" s="52">
        <v>5.6368717129889875E-2</v>
      </c>
      <c r="C104" s="52">
        <v>0.29664707889363606</v>
      </c>
      <c r="D104" s="52">
        <v>0.60362824955348482</v>
      </c>
      <c r="E104" s="52">
        <v>0.18131923138194006</v>
      </c>
      <c r="F104" s="52">
        <v>0.10202403048019347</v>
      </c>
      <c r="G104" s="52">
        <v>5.3679062414843728E-2</v>
      </c>
      <c r="H104" s="52">
        <v>9.993975782292025E-2</v>
      </c>
      <c r="I104" s="119">
        <v>280.56446124991442</v>
      </c>
    </row>
    <row r="105" spans="1:9" x14ac:dyDescent="0.3">
      <c r="A105" s="23">
        <v>87</v>
      </c>
      <c r="B105" s="52">
        <v>6.3309873128075747E-2</v>
      </c>
      <c r="C105" s="52">
        <v>0.28092263064897177</v>
      </c>
      <c r="D105" s="52">
        <v>0.60151466897233341</v>
      </c>
      <c r="E105" s="52">
        <v>0.19265308288571237</v>
      </c>
      <c r="F105" s="52">
        <v>9.5574250200321134E-2</v>
      </c>
      <c r="G105" s="52">
        <v>4.7283334978441754E-2</v>
      </c>
      <c r="H105" s="52">
        <v>0.11522571014732089</v>
      </c>
      <c r="I105" s="119">
        <v>253.19671070327502</v>
      </c>
    </row>
    <row r="106" spans="1:9" x14ac:dyDescent="0.3">
      <c r="A106" s="23">
        <v>88</v>
      </c>
      <c r="B106" s="52">
        <v>7.1840084806137863E-2</v>
      </c>
      <c r="C106" s="52">
        <v>0.27156580199038449</v>
      </c>
      <c r="D106" s="52">
        <v>0.57149451427386277</v>
      </c>
      <c r="E106" s="52">
        <v>0.20871578986072781</v>
      </c>
      <c r="F106" s="52">
        <v>9.7996011536671909E-2</v>
      </c>
      <c r="G106" s="52">
        <v>5.667817357180812E-2</v>
      </c>
      <c r="H106" s="52">
        <v>0.10031474399075389</v>
      </c>
      <c r="I106" s="119">
        <v>300.72384673726134</v>
      </c>
    </row>
    <row r="107" spans="1:9" x14ac:dyDescent="0.3">
      <c r="A107" s="23">
        <v>89</v>
      </c>
      <c r="B107" s="52">
        <v>5.2502416800071783E-2</v>
      </c>
      <c r="C107" s="52">
        <v>0.2964253893791195</v>
      </c>
      <c r="D107" s="52">
        <v>0.58376600847943094</v>
      </c>
      <c r="E107" s="52">
        <v>0.20387507223252119</v>
      </c>
      <c r="F107" s="52">
        <v>0.10017250767775907</v>
      </c>
      <c r="G107" s="52">
        <v>4.8229015826794105E-2</v>
      </c>
      <c r="H107" s="52">
        <v>0.10002408399940999</v>
      </c>
      <c r="I107" s="119">
        <v>244.92851712596035</v>
      </c>
    </row>
    <row r="108" spans="1:9" x14ac:dyDescent="0.3">
      <c r="A108" s="23">
        <v>90</v>
      </c>
      <c r="B108" s="52">
        <v>7.0147495550656913E-2</v>
      </c>
      <c r="C108" s="52">
        <v>0.27940309315002793</v>
      </c>
      <c r="D108" s="52">
        <v>0.62291775409075323</v>
      </c>
      <c r="E108" s="52">
        <v>0.183577180466717</v>
      </c>
      <c r="F108" s="52">
        <v>0.10069522046128343</v>
      </c>
      <c r="G108" s="52">
        <v>6.4041770345831153E-2</v>
      </c>
      <c r="H108" s="52">
        <v>0.11226681361550897</v>
      </c>
      <c r="I108" s="119">
        <v>386.6002612268357</v>
      </c>
    </row>
    <row r="109" spans="1:9" x14ac:dyDescent="0.3">
      <c r="A109" s="23">
        <v>91</v>
      </c>
      <c r="B109" s="52">
        <v>5.3009111037620321E-2</v>
      </c>
      <c r="C109" s="52">
        <v>0.28959434770877934</v>
      </c>
      <c r="D109" s="52">
        <v>0.42948937417986954</v>
      </c>
      <c r="E109" s="52">
        <v>0.19991932671640891</v>
      </c>
      <c r="F109" s="52">
        <v>8.2763610745488408E-2</v>
      </c>
      <c r="G109" s="52">
        <v>5.3625224042975352E-2</v>
      </c>
      <c r="H109" s="52">
        <v>0.11536008481109065</v>
      </c>
      <c r="I109" s="119">
        <v>584.39730573149768</v>
      </c>
    </row>
    <row r="110" spans="1:9" x14ac:dyDescent="0.3">
      <c r="A110" s="23">
        <v>92</v>
      </c>
      <c r="B110" s="52">
        <v>6.7993118798273078E-2</v>
      </c>
      <c r="C110" s="52">
        <v>0.2741597195934819</v>
      </c>
      <c r="D110" s="52">
        <v>0.47307835084234839</v>
      </c>
      <c r="E110" s="52">
        <v>0.17850720102948109</v>
      </c>
      <c r="F110" s="52">
        <v>9.2641976352917849E-2</v>
      </c>
      <c r="G110" s="52">
        <v>4.5503905350387903E-2</v>
      </c>
      <c r="H110" s="52">
        <v>0.11281960509606737</v>
      </c>
      <c r="I110" s="119">
        <v>253.38380756211615</v>
      </c>
    </row>
    <row r="111" spans="1:9" x14ac:dyDescent="0.3">
      <c r="A111" s="23">
        <v>93</v>
      </c>
      <c r="B111" s="52">
        <v>6.9231157706334756E-2</v>
      </c>
      <c r="C111" s="52">
        <v>0.29837687805333002</v>
      </c>
      <c r="D111" s="52">
        <v>0.53760465366677823</v>
      </c>
      <c r="E111" s="52">
        <v>0.20888341974001207</v>
      </c>
      <c r="F111" s="52">
        <v>9.784967243559399E-2</v>
      </c>
      <c r="G111" s="52">
        <v>3.904248857309002E-2</v>
      </c>
      <c r="H111" s="52">
        <v>8.4262703423516938E-2</v>
      </c>
      <c r="I111" s="119">
        <v>234.57531359545257</v>
      </c>
    </row>
    <row r="112" spans="1:9" x14ac:dyDescent="0.3">
      <c r="A112" s="23">
        <v>94</v>
      </c>
      <c r="B112" s="52">
        <v>5.3569607736545267E-2</v>
      </c>
      <c r="C112" s="52">
        <v>0.25426570449779989</v>
      </c>
      <c r="D112" s="52">
        <v>0.51448338167603092</v>
      </c>
      <c r="E112" s="52">
        <v>0.18715747104245004</v>
      </c>
      <c r="F112" s="52">
        <v>9.3516075128946344E-2</v>
      </c>
      <c r="G112" s="52">
        <v>3.332057336418328E-2</v>
      </c>
      <c r="H112" s="52">
        <v>0.10860117644370973</v>
      </c>
      <c r="I112" s="119">
        <v>83.699198862880976</v>
      </c>
    </row>
    <row r="113" spans="1:9" x14ac:dyDescent="0.3">
      <c r="A113" s="23">
        <v>95</v>
      </c>
      <c r="B113" s="52">
        <v>6.4838143311100577E-2</v>
      </c>
      <c r="C113" s="52">
        <v>0.26056758418326526</v>
      </c>
      <c r="D113" s="52">
        <v>0.62221805617763049</v>
      </c>
      <c r="E113" s="52">
        <v>0.16411604662024754</v>
      </c>
      <c r="F113" s="52">
        <v>0.10807469082409298</v>
      </c>
      <c r="G113" s="52">
        <v>3.5964826015411316E-2</v>
      </c>
      <c r="H113" s="52">
        <v>0.11790636132442481</v>
      </c>
      <c r="I113" s="119">
        <v>50.7108460398806</v>
      </c>
    </row>
    <row r="114" spans="1:9" x14ac:dyDescent="0.3">
      <c r="A114" s="23">
        <v>96</v>
      </c>
      <c r="B114" s="52">
        <v>5.3747290033734477E-2</v>
      </c>
      <c r="C114" s="52">
        <v>0.2994993020441501</v>
      </c>
      <c r="D114" s="52">
        <v>0.45980763452866591</v>
      </c>
      <c r="E114" s="52">
        <v>0.17416137265643181</v>
      </c>
      <c r="F114" s="52">
        <v>9.5952563021778139E-2</v>
      </c>
      <c r="G114" s="52">
        <v>6.1553933684465573E-2</v>
      </c>
      <c r="H114" s="52">
        <v>0.11431627920321585</v>
      </c>
      <c r="I114" s="119">
        <v>482.36304935255652</v>
      </c>
    </row>
    <row r="115" spans="1:9" x14ac:dyDescent="0.3">
      <c r="A115" s="23">
        <v>97</v>
      </c>
      <c r="B115" s="52">
        <v>5.7978466140516285E-2</v>
      </c>
      <c r="C115" s="52">
        <v>0.28509421861703643</v>
      </c>
      <c r="D115" s="52">
        <v>0.53123747019997625</v>
      </c>
      <c r="E115" s="52">
        <v>0.18808873689136488</v>
      </c>
      <c r="F115" s="52">
        <v>0.1038945547716605</v>
      </c>
      <c r="G115" s="52">
        <v>4.4993894567380233E-2</v>
      </c>
      <c r="H115" s="52">
        <v>0.11571739839791233</v>
      </c>
      <c r="I115" s="119">
        <v>168.25044569650089</v>
      </c>
    </row>
    <row r="116" spans="1:9" x14ac:dyDescent="0.3">
      <c r="A116" s="23">
        <v>98</v>
      </c>
      <c r="B116" s="52">
        <v>8.0428736832262884E-2</v>
      </c>
      <c r="C116" s="52">
        <v>0.27027404681769351</v>
      </c>
      <c r="D116" s="52">
        <v>0.47467479594303913</v>
      </c>
      <c r="E116" s="52">
        <v>0.22819154625161472</v>
      </c>
      <c r="F116" s="52">
        <v>9.8718356322998774E-2</v>
      </c>
      <c r="G116" s="52">
        <v>4.3277733410144958E-2</v>
      </c>
      <c r="H116" s="52">
        <v>0.10993598377758762</v>
      </c>
      <c r="I116" s="119">
        <v>186.82634720954556</v>
      </c>
    </row>
    <row r="117" spans="1:9" x14ac:dyDescent="0.3">
      <c r="A117" s="23">
        <v>99</v>
      </c>
      <c r="B117" s="52">
        <v>7.6166343892104443E-2</v>
      </c>
      <c r="C117" s="52">
        <v>0.30351845039670533</v>
      </c>
      <c r="D117" s="52">
        <v>0.53531229855690987</v>
      </c>
      <c r="E117" s="52">
        <v>0.19792818083156449</v>
      </c>
      <c r="F117" s="52">
        <v>8.8068778730904906E-2</v>
      </c>
      <c r="G117" s="52">
        <v>5.1667911852086759E-2</v>
      </c>
      <c r="H117" s="52">
        <v>0.11126080430082227</v>
      </c>
      <c r="I117" s="119">
        <v>549.08048733312808</v>
      </c>
    </row>
    <row r="118" spans="1:9" x14ac:dyDescent="0.3">
      <c r="A118" s="23">
        <v>100</v>
      </c>
      <c r="B118" s="52">
        <v>7.8224834243646513E-2</v>
      </c>
      <c r="C118" s="52">
        <v>0.27241421988786441</v>
      </c>
      <c r="D118" s="52">
        <v>0.51897318990430752</v>
      </c>
      <c r="E118" s="52">
        <v>0.18292210782933835</v>
      </c>
      <c r="F118" s="52">
        <v>0.10272137213178845</v>
      </c>
      <c r="G118" s="52">
        <v>5.3956078634086968E-2</v>
      </c>
      <c r="H118" s="52">
        <v>0.11228662145899557</v>
      </c>
      <c r="I118" s="119">
        <v>233.83365867470891</v>
      </c>
    </row>
    <row r="119" spans="1:9" x14ac:dyDescent="0.3">
      <c r="A119" s="23">
        <v>101</v>
      </c>
      <c r="B119" s="52">
        <v>7.1337896879515805E-2</v>
      </c>
      <c r="C119" s="52">
        <v>0.30052959371232257</v>
      </c>
      <c r="D119" s="52">
        <v>0.55545123953851772</v>
      </c>
      <c r="E119" s="52">
        <v>0.20611487504216158</v>
      </c>
      <c r="F119" s="52">
        <v>9.3964198574388452E-2</v>
      </c>
      <c r="G119" s="52">
        <v>4.2193013319417473E-2</v>
      </c>
      <c r="H119" s="52">
        <v>0.10805882240089332</v>
      </c>
      <c r="I119" s="119">
        <v>307.34078257835557</v>
      </c>
    </row>
    <row r="120" spans="1:9" x14ac:dyDescent="0.3">
      <c r="A120" s="23">
        <v>102</v>
      </c>
      <c r="B120" s="52">
        <v>6.4279562413721555E-2</v>
      </c>
      <c r="C120" s="52">
        <v>0.2942676340200896</v>
      </c>
      <c r="D120" s="52">
        <v>0.48689754682644698</v>
      </c>
      <c r="E120" s="52">
        <v>0.20250815569770436</v>
      </c>
      <c r="F120" s="52">
        <v>8.7799089629063826E-2</v>
      </c>
      <c r="G120" s="52">
        <v>5.8295831287499392E-2</v>
      </c>
      <c r="H120" s="52">
        <v>8.8291640523682963E-2</v>
      </c>
      <c r="I120" s="119">
        <v>621.5927970696024</v>
      </c>
    </row>
    <row r="121" spans="1:9" x14ac:dyDescent="0.3">
      <c r="A121" s="23">
        <v>103</v>
      </c>
      <c r="B121" s="52">
        <v>5.4211792311696219E-2</v>
      </c>
      <c r="C121" s="52">
        <v>0.28845146366854629</v>
      </c>
      <c r="D121" s="52">
        <v>0.68942524039203201</v>
      </c>
      <c r="E121" s="52">
        <v>0.218128195269264</v>
      </c>
      <c r="F121" s="52">
        <v>9.1435908017123452E-2</v>
      </c>
      <c r="G121" s="52">
        <v>5.8087302862007507E-2</v>
      </c>
      <c r="H121" s="52">
        <v>0.10983713173083416</v>
      </c>
      <c r="I121" s="119">
        <v>465.24984773743569</v>
      </c>
    </row>
    <row r="122" spans="1:9" x14ac:dyDescent="0.3">
      <c r="A122" s="23">
        <v>104</v>
      </c>
      <c r="B122" s="52">
        <v>7.5696928196829549E-2</v>
      </c>
      <c r="C122" s="52">
        <v>0.28332224751994667</v>
      </c>
      <c r="D122" s="52">
        <v>0.53637308428229535</v>
      </c>
      <c r="E122" s="52">
        <v>0.15466615775476009</v>
      </c>
      <c r="F122" s="52">
        <v>9.6831367684169375E-2</v>
      </c>
      <c r="G122" s="52">
        <v>3.9654430180599415E-2</v>
      </c>
      <c r="H122" s="52">
        <v>0.10069579290204599</v>
      </c>
      <c r="I122" s="119">
        <v>212.34712437572736</v>
      </c>
    </row>
    <row r="123" spans="1:9" x14ac:dyDescent="0.3">
      <c r="A123" s="23">
        <v>105</v>
      </c>
      <c r="B123" s="52">
        <v>5.5517030967067872E-2</v>
      </c>
      <c r="C123" s="52">
        <v>0.29806169554391831</v>
      </c>
      <c r="D123" s="52">
        <v>0.68492050322404086</v>
      </c>
      <c r="E123" s="52">
        <v>0.19822072469287877</v>
      </c>
      <c r="F123" s="52">
        <v>9.8938750701486208E-2</v>
      </c>
      <c r="G123" s="52">
        <v>5.2336488821776078E-2</v>
      </c>
      <c r="H123" s="52">
        <v>9.5511534778244062E-2</v>
      </c>
      <c r="I123" s="119">
        <v>306.1389827443744</v>
      </c>
    </row>
    <row r="124" spans="1:9" x14ac:dyDescent="0.3">
      <c r="A124" s="23">
        <v>106</v>
      </c>
      <c r="B124" s="52">
        <v>6.9987666006762345E-2</v>
      </c>
      <c r="C124" s="52">
        <v>0.29776488722474914</v>
      </c>
      <c r="D124" s="52">
        <v>0.52675648619822257</v>
      </c>
      <c r="E124" s="52">
        <v>0.18082097909155972</v>
      </c>
      <c r="F124" s="52">
        <v>9.50743023360682E-2</v>
      </c>
      <c r="G124" s="52">
        <v>4.9050465758038238E-2</v>
      </c>
      <c r="H124" s="52">
        <v>0.11922686971172923</v>
      </c>
      <c r="I124" s="119">
        <v>350.13474765455425</v>
      </c>
    </row>
    <row r="125" spans="1:9" x14ac:dyDescent="0.3">
      <c r="A125" s="23">
        <v>107</v>
      </c>
      <c r="B125" s="52">
        <v>6.9717361084582596E-2</v>
      </c>
      <c r="C125" s="52">
        <v>0.28304498546685869</v>
      </c>
      <c r="D125" s="52">
        <v>0.73981439822394846</v>
      </c>
      <c r="E125" s="52">
        <v>0.20512133234782848</v>
      </c>
      <c r="F125" s="52">
        <v>9.8030152802185827E-2</v>
      </c>
      <c r="G125" s="52">
        <v>4.7001285377065605E-2</v>
      </c>
      <c r="H125" s="52">
        <v>0.10685101186836946</v>
      </c>
      <c r="I125" s="119">
        <v>244.56925901944152</v>
      </c>
    </row>
    <row r="126" spans="1:9" x14ac:dyDescent="0.3">
      <c r="A126" s="23">
        <v>108</v>
      </c>
      <c r="B126" s="52">
        <v>6.5065278156506284E-2</v>
      </c>
      <c r="C126" s="52">
        <v>0.27001469332388722</v>
      </c>
      <c r="D126" s="52">
        <v>0.47060248768087326</v>
      </c>
      <c r="E126" s="52">
        <v>0.20708004421796511</v>
      </c>
      <c r="F126" s="52">
        <v>8.3698240188839368E-2</v>
      </c>
      <c r="G126" s="52">
        <v>5.9803801124091303E-2</v>
      </c>
      <c r="H126" s="52">
        <v>0.10652645338375236</v>
      </c>
      <c r="I126" s="119">
        <v>662.21767333077889</v>
      </c>
    </row>
    <row r="127" spans="1:9" x14ac:dyDescent="0.3">
      <c r="A127" s="23">
        <v>109</v>
      </c>
      <c r="B127" s="52">
        <v>5.4960091141232799E-2</v>
      </c>
      <c r="C127" s="52">
        <v>0.27441255337159237</v>
      </c>
      <c r="D127" s="52">
        <v>0.5788756463009942</v>
      </c>
      <c r="E127" s="52">
        <v>0.18845782924705179</v>
      </c>
      <c r="F127" s="52">
        <v>8.9276291964686394E-2</v>
      </c>
      <c r="G127" s="52">
        <v>5.2718773063156255E-2</v>
      </c>
      <c r="H127" s="52">
        <v>8.6874084013819658E-2</v>
      </c>
      <c r="I127" s="119">
        <v>356.18224386635399</v>
      </c>
    </row>
    <row r="128" spans="1:9" x14ac:dyDescent="0.3">
      <c r="A128" s="23">
        <v>110</v>
      </c>
      <c r="B128" s="52">
        <v>5.8637620144987294E-2</v>
      </c>
      <c r="C128" s="52">
        <v>0.2635692383865007</v>
      </c>
      <c r="D128" s="52">
        <v>0.57432197703111354</v>
      </c>
      <c r="E128" s="52">
        <v>0.20950926038170034</v>
      </c>
      <c r="F128" s="52">
        <v>9.4880950297734759E-2</v>
      </c>
      <c r="G128" s="52">
        <v>5.7627242717198962E-2</v>
      </c>
      <c r="H128" s="52">
        <v>0.11001531315260724</v>
      </c>
      <c r="I128" s="119">
        <v>297.01152230670402</v>
      </c>
    </row>
    <row r="129" spans="1:9" x14ac:dyDescent="0.3">
      <c r="A129" s="23">
        <v>111</v>
      </c>
      <c r="B129" s="52">
        <v>5.5199026970955967E-2</v>
      </c>
      <c r="C129" s="52">
        <v>0.26266491123089919</v>
      </c>
      <c r="D129" s="52">
        <v>0.58271973095794105</v>
      </c>
      <c r="E129" s="52">
        <v>0.19024180335859384</v>
      </c>
      <c r="F129" s="52">
        <v>9.4301890457611059E-2</v>
      </c>
      <c r="G129" s="52">
        <v>4.8137539885396985E-2</v>
      </c>
      <c r="H129" s="52">
        <v>9.6246429784207527E-2</v>
      </c>
      <c r="I129" s="119">
        <v>196.61094274628235</v>
      </c>
    </row>
    <row r="130" spans="1:9" x14ac:dyDescent="0.3">
      <c r="A130" s="23">
        <v>112</v>
      </c>
      <c r="B130" s="52">
        <v>6.464771741378833E-2</v>
      </c>
      <c r="C130" s="52">
        <v>0.26701285037188049</v>
      </c>
      <c r="D130" s="52">
        <v>0.49859992510926066</v>
      </c>
      <c r="E130" s="52">
        <v>0.18418703937333486</v>
      </c>
      <c r="F130" s="52">
        <v>9.6530219974742745E-2</v>
      </c>
      <c r="G130" s="52">
        <v>3.8082669969450131E-2</v>
      </c>
      <c r="H130" s="52">
        <v>0.11814800953084857</v>
      </c>
      <c r="I130" s="119">
        <v>138.94278780279672</v>
      </c>
    </row>
    <row r="131" spans="1:9" x14ac:dyDescent="0.3">
      <c r="A131" s="23">
        <v>113</v>
      </c>
      <c r="B131" s="52">
        <v>5.7832469083254991E-2</v>
      </c>
      <c r="C131" s="52">
        <v>0.28087682520162266</v>
      </c>
      <c r="D131" s="52">
        <v>0.49121636112225653</v>
      </c>
      <c r="E131" s="52">
        <v>0.18238571418740845</v>
      </c>
      <c r="F131" s="52">
        <v>9.5362309466020118E-2</v>
      </c>
      <c r="G131" s="52">
        <v>4.6791561947940805E-2</v>
      </c>
      <c r="H131" s="52">
        <v>0.10545890404689508</v>
      </c>
      <c r="I131" s="119">
        <v>241.0305506514984</v>
      </c>
    </row>
    <row r="132" spans="1:9" x14ac:dyDescent="0.3">
      <c r="A132" s="23">
        <v>114</v>
      </c>
      <c r="B132" s="52">
        <v>5.368253312588149E-2</v>
      </c>
      <c r="C132" s="52">
        <v>0.29273478066047381</v>
      </c>
      <c r="D132" s="52">
        <v>0.5398600489355434</v>
      </c>
      <c r="E132" s="52">
        <v>0.19928065717342838</v>
      </c>
      <c r="F132" s="52">
        <v>8.7707408916206625E-2</v>
      </c>
      <c r="G132" s="52">
        <v>4.4331291308068198E-2</v>
      </c>
      <c r="H132" s="52">
        <v>0.10352188242610941</v>
      </c>
      <c r="I132" s="119">
        <v>340.74045806661866</v>
      </c>
    </row>
    <row r="133" spans="1:9" x14ac:dyDescent="0.3">
      <c r="A133" s="23">
        <v>115</v>
      </c>
      <c r="B133" s="52">
        <v>6.5764084291836847E-2</v>
      </c>
      <c r="C133" s="52">
        <v>0.29483013716383738</v>
      </c>
      <c r="D133" s="52">
        <v>0.70015965209896647</v>
      </c>
      <c r="E133" s="52">
        <v>0.20407624170549785</v>
      </c>
      <c r="F133" s="52">
        <v>9.5126115039214948E-2</v>
      </c>
      <c r="G133" s="52">
        <v>5.5610810948371635E-2</v>
      </c>
      <c r="H133" s="52">
        <v>0.12328614020442194</v>
      </c>
      <c r="I133" s="119">
        <v>411.55783844426344</v>
      </c>
    </row>
    <row r="134" spans="1:9" x14ac:dyDescent="0.3">
      <c r="A134" s="23">
        <v>116</v>
      </c>
      <c r="B134" s="52">
        <v>8.6701169694669553E-2</v>
      </c>
      <c r="C134" s="52">
        <v>0.28344919319757111</v>
      </c>
      <c r="D134" s="52">
        <v>0.53749325361462719</v>
      </c>
      <c r="E134" s="52">
        <v>0.19835858700056608</v>
      </c>
      <c r="F134" s="52">
        <v>9.3777551652942492E-2</v>
      </c>
      <c r="G134" s="52">
        <v>6.3513043773827244E-2</v>
      </c>
      <c r="H134" s="52">
        <v>0.11117376116028063</v>
      </c>
      <c r="I134" s="119">
        <v>595.82095358481251</v>
      </c>
    </row>
    <row r="135" spans="1:9" x14ac:dyDescent="0.3">
      <c r="A135" s="23">
        <v>117</v>
      </c>
      <c r="B135" s="52">
        <v>5.4729305381182244E-2</v>
      </c>
      <c r="C135" s="52">
        <v>0.25767385629577544</v>
      </c>
      <c r="D135" s="52">
        <v>0.58478686739966668</v>
      </c>
      <c r="E135" s="52">
        <v>0.21107889472746494</v>
      </c>
      <c r="F135" s="52">
        <v>0.10194540107121802</v>
      </c>
      <c r="G135" s="52">
        <v>5.1541024702833796E-2</v>
      </c>
      <c r="H135" s="52">
        <v>0.11411340186524563</v>
      </c>
      <c r="I135" s="119">
        <v>137.62507983215474</v>
      </c>
    </row>
    <row r="136" spans="1:9" x14ac:dyDescent="0.3">
      <c r="A136" s="23">
        <v>118</v>
      </c>
      <c r="B136" s="52">
        <v>6.7215207785012582E-2</v>
      </c>
      <c r="C136" s="52">
        <v>0.29045224637415479</v>
      </c>
      <c r="D136" s="52">
        <v>0.44867894767341598</v>
      </c>
      <c r="E136" s="52">
        <v>0.2084436913460837</v>
      </c>
      <c r="F136" s="52">
        <v>9.6320292870687663E-2</v>
      </c>
      <c r="G136" s="52">
        <v>5.6262030996748286E-2</v>
      </c>
      <c r="H136" s="52">
        <v>0.10628699188974768</v>
      </c>
      <c r="I136" s="119">
        <v>386.70704075968121</v>
      </c>
    </row>
    <row r="137" spans="1:9" x14ac:dyDescent="0.3">
      <c r="A137" s="23">
        <v>119</v>
      </c>
      <c r="B137" s="52">
        <v>6.1915762378921366E-2</v>
      </c>
      <c r="C137" s="52">
        <v>0.28829253812797434</v>
      </c>
      <c r="D137" s="52">
        <v>0.54957257152133843</v>
      </c>
      <c r="E137" s="52">
        <v>0.18813408471831328</v>
      </c>
      <c r="F137" s="52">
        <v>9.3223117623363647E-2</v>
      </c>
      <c r="G137" s="52">
        <v>5.8854847753301534E-2</v>
      </c>
      <c r="H137" s="52">
        <v>8.8558539231409314E-2</v>
      </c>
      <c r="I137" s="119">
        <v>461.82112646512672</v>
      </c>
    </row>
    <row r="138" spans="1:9" x14ac:dyDescent="0.3">
      <c r="A138" s="23">
        <v>120</v>
      </c>
      <c r="B138" s="52">
        <v>5.2516008704093509E-2</v>
      </c>
      <c r="C138" s="52">
        <v>0.30697991842381783</v>
      </c>
      <c r="D138" s="52">
        <v>0.44424499567540482</v>
      </c>
      <c r="E138" s="52">
        <v>0.20925337558655321</v>
      </c>
      <c r="F138" s="52">
        <v>8.8474508412024394E-2</v>
      </c>
      <c r="G138" s="52">
        <v>5.6920816184122924E-2</v>
      </c>
      <c r="H138" s="52">
        <v>0.11593345289687072</v>
      </c>
      <c r="I138" s="119">
        <v>594.16509833301814</v>
      </c>
    </row>
    <row r="139" spans="1:9" x14ac:dyDescent="0.3">
      <c r="A139" s="23">
        <v>121</v>
      </c>
      <c r="B139" s="52">
        <v>6.2446247356851933E-2</v>
      </c>
      <c r="C139" s="52">
        <v>0.30317728371502967</v>
      </c>
      <c r="D139" s="52">
        <v>0.65378763789383709</v>
      </c>
      <c r="E139" s="52">
        <v>0.18521561709736467</v>
      </c>
      <c r="F139" s="52">
        <v>9.8704705956400504E-2</v>
      </c>
      <c r="G139" s="52">
        <v>4.8768640714285688E-2</v>
      </c>
      <c r="H139" s="52">
        <v>0.11918560066290572</v>
      </c>
      <c r="I139" s="119">
        <v>305.61181066793864</v>
      </c>
    </row>
    <row r="140" spans="1:9" x14ac:dyDescent="0.3">
      <c r="A140" s="23">
        <v>122</v>
      </c>
      <c r="B140" s="52">
        <v>6.6161829852673132E-2</v>
      </c>
      <c r="C140" s="52">
        <v>0.3033958332427214</v>
      </c>
      <c r="D140" s="52">
        <v>0.51166658517067221</v>
      </c>
      <c r="E140" s="52">
        <v>0.19639963749289058</v>
      </c>
      <c r="F140" s="52">
        <v>9.3626309320511636E-2</v>
      </c>
      <c r="G140" s="52">
        <v>5.9637787858771607E-2</v>
      </c>
      <c r="H140" s="52">
        <v>0.11785625168988555</v>
      </c>
      <c r="I140" s="119">
        <v>550.98186205829529</v>
      </c>
    </row>
    <row r="141" spans="1:9" x14ac:dyDescent="0.3">
      <c r="A141" s="23">
        <v>123</v>
      </c>
      <c r="B141" s="52">
        <v>8.0286851456416702E-2</v>
      </c>
      <c r="C141" s="52">
        <v>0.27968793334643494</v>
      </c>
      <c r="D141" s="52">
        <v>0.60317282070191425</v>
      </c>
      <c r="E141" s="52">
        <v>0.19937177759702424</v>
      </c>
      <c r="F141" s="52">
        <v>8.3284836169106508E-2</v>
      </c>
      <c r="G141" s="52">
        <v>4.8044058815848313E-2</v>
      </c>
      <c r="H141" s="52">
        <v>9.9250101488441989E-2</v>
      </c>
      <c r="I141" s="119">
        <v>478.87675308163421</v>
      </c>
    </row>
    <row r="142" spans="1:9" x14ac:dyDescent="0.3">
      <c r="A142" s="23">
        <v>124</v>
      </c>
      <c r="B142" s="52">
        <v>5.9847360906742406E-2</v>
      </c>
      <c r="C142" s="52">
        <v>0.28470046873271604</v>
      </c>
      <c r="D142" s="52">
        <v>0.43705601472208344</v>
      </c>
      <c r="E142" s="52">
        <v>0.18358596034780833</v>
      </c>
      <c r="F142" s="52">
        <v>0.10030346330560286</v>
      </c>
      <c r="G142" s="52">
        <v>4.070619312711015E-2</v>
      </c>
      <c r="H142" s="52">
        <v>0.10838945180622114</v>
      </c>
      <c r="I142" s="119">
        <v>171.06826016953556</v>
      </c>
    </row>
    <row r="143" spans="1:9" x14ac:dyDescent="0.3">
      <c r="A143" s="23">
        <v>125</v>
      </c>
      <c r="B143" s="52">
        <v>7.3727507441700174E-2</v>
      </c>
      <c r="C143" s="52">
        <v>0.28562591262388487</v>
      </c>
      <c r="D143" s="52">
        <v>0.47065091687574584</v>
      </c>
      <c r="E143" s="52">
        <v>0.20955954258471807</v>
      </c>
      <c r="F143" s="52">
        <v>9.2121874145270469E-2</v>
      </c>
      <c r="G143" s="52">
        <v>5.1012429824491501E-2</v>
      </c>
      <c r="H143" s="52">
        <v>0.11656892755273715</v>
      </c>
      <c r="I143" s="119">
        <v>377.07641035805682</v>
      </c>
    </row>
    <row r="144" spans="1:9" x14ac:dyDescent="0.3">
      <c r="A144" s="23">
        <v>126</v>
      </c>
      <c r="B144" s="52">
        <v>6.2814659519719651E-2</v>
      </c>
      <c r="C144" s="52">
        <v>0.29092906389489692</v>
      </c>
      <c r="D144" s="52">
        <v>0.53302382706644513</v>
      </c>
      <c r="E144" s="52">
        <v>0.20734201903142468</v>
      </c>
      <c r="F144" s="52">
        <v>0.10301314006938186</v>
      </c>
      <c r="G144" s="52">
        <v>4.9679032978033576E-2</v>
      </c>
      <c r="H144" s="52">
        <v>0.10078606472134705</v>
      </c>
      <c r="I144" s="119">
        <v>231.22920645493497</v>
      </c>
    </row>
    <row r="145" spans="1:9" x14ac:dyDescent="0.3">
      <c r="A145" s="23">
        <v>127</v>
      </c>
      <c r="B145" s="52">
        <v>5.7856934219379062E-2</v>
      </c>
      <c r="C145" s="52">
        <v>0.2825924510017826</v>
      </c>
      <c r="D145" s="52">
        <v>0.53174199334636896</v>
      </c>
      <c r="E145" s="52">
        <v>0.19412458520071618</v>
      </c>
      <c r="F145" s="52">
        <v>0.1057199043581203</v>
      </c>
      <c r="G145" s="52">
        <v>4.2574715284539648E-2</v>
      </c>
      <c r="H145" s="52">
        <v>0.11686823842810456</v>
      </c>
      <c r="I145" s="119">
        <v>136.22387990501551</v>
      </c>
    </row>
    <row r="146" spans="1:9" x14ac:dyDescent="0.3">
      <c r="A146" s="23">
        <v>128</v>
      </c>
      <c r="B146" s="52">
        <v>7.0947810875757258E-2</v>
      </c>
      <c r="C146" s="52">
        <v>0.27183504649436757</v>
      </c>
      <c r="D146" s="52">
        <v>0.46521925806583342</v>
      </c>
      <c r="E146" s="52">
        <v>0.19584604133015926</v>
      </c>
      <c r="F146" s="52">
        <v>0.10088345336801112</v>
      </c>
      <c r="G146" s="52">
        <v>3.2026236952549567E-2</v>
      </c>
      <c r="H146" s="52">
        <v>0.11727601104814118</v>
      </c>
      <c r="I146" s="119">
        <v>105.61681496533761</v>
      </c>
    </row>
    <row r="147" spans="1:9" x14ac:dyDescent="0.3">
      <c r="A147" s="23">
        <v>129</v>
      </c>
      <c r="B147" s="52">
        <v>6.1332062080464891E-2</v>
      </c>
      <c r="C147" s="52">
        <v>0.27389580780479766</v>
      </c>
      <c r="D147" s="52">
        <v>0.57304244069501586</v>
      </c>
      <c r="E147" s="52">
        <v>0.17403812196049412</v>
      </c>
      <c r="F147" s="52">
        <v>9.9503113148040556E-2</v>
      </c>
      <c r="G147" s="52">
        <v>4.0945294007429404E-2</v>
      </c>
      <c r="H147" s="52">
        <v>0.11367737277355361</v>
      </c>
      <c r="I147" s="119">
        <v>149.67959900746536</v>
      </c>
    </row>
    <row r="148" spans="1:9" x14ac:dyDescent="0.3">
      <c r="A148" s="23">
        <v>130</v>
      </c>
      <c r="B148" s="52">
        <v>7.6990496617360904E-2</v>
      </c>
      <c r="C148" s="52">
        <v>0.27389064189544438</v>
      </c>
      <c r="D148" s="52">
        <v>0.63919284132754539</v>
      </c>
      <c r="E148" s="52">
        <v>0.20190661607078439</v>
      </c>
      <c r="F148" s="52">
        <v>0.10462514795697428</v>
      </c>
      <c r="G148" s="52">
        <v>4.4859117534011325E-2</v>
      </c>
      <c r="H148" s="52">
        <v>0.11602165548514101</v>
      </c>
      <c r="I148" s="119">
        <v>158.20861031092824</v>
      </c>
    </row>
    <row r="149" spans="1:9" x14ac:dyDescent="0.3">
      <c r="A149" s="23">
        <v>131</v>
      </c>
      <c r="B149" s="52">
        <v>7.0104751286550873E-2</v>
      </c>
      <c r="C149" s="52">
        <v>0.24918344212804427</v>
      </c>
      <c r="D149" s="52">
        <v>0.51758098312474443</v>
      </c>
      <c r="E149" s="52">
        <v>0.20298992382985598</v>
      </c>
      <c r="F149" s="52">
        <v>9.5754068718282959E-2</v>
      </c>
      <c r="G149" s="52">
        <v>5.8104221676130399E-2</v>
      </c>
      <c r="H149" s="52">
        <v>0.10840168628036019</v>
      </c>
      <c r="I149" s="119">
        <v>250.31188405508328</v>
      </c>
    </row>
    <row r="150" spans="1:9" x14ac:dyDescent="0.3">
      <c r="A150" s="23">
        <v>132</v>
      </c>
      <c r="B150" s="52">
        <v>5.6457464145540155E-2</v>
      </c>
      <c r="C150" s="52">
        <v>0.29075580111859956</v>
      </c>
      <c r="D150" s="52">
        <v>0.65422990158108452</v>
      </c>
      <c r="E150" s="52">
        <v>0.19555220186276151</v>
      </c>
      <c r="F150" s="52">
        <v>9.4749317842087399E-2</v>
      </c>
      <c r="G150" s="52">
        <v>6.040160377957618E-2</v>
      </c>
      <c r="H150" s="52">
        <v>0.10116401438206096</v>
      </c>
      <c r="I150" s="119">
        <v>454.95470423384734</v>
      </c>
    </row>
    <row r="151" spans="1:9" x14ac:dyDescent="0.3">
      <c r="A151" s="23">
        <v>133</v>
      </c>
      <c r="B151" s="52">
        <v>6.2512039748152851E-2</v>
      </c>
      <c r="C151" s="52">
        <v>0.29842528604240487</v>
      </c>
      <c r="D151" s="52">
        <v>0.71544447663498756</v>
      </c>
      <c r="E151" s="52">
        <v>0.17924634517275348</v>
      </c>
      <c r="F151" s="52">
        <v>9.3626033571408668E-2</v>
      </c>
      <c r="G151" s="52">
        <v>5.1150503185010417E-2</v>
      </c>
      <c r="H151" s="52">
        <v>0.11147060556980833</v>
      </c>
      <c r="I151" s="119">
        <v>380.8917009196677</v>
      </c>
    </row>
    <row r="152" spans="1:9" x14ac:dyDescent="0.3">
      <c r="A152" s="23">
        <v>134</v>
      </c>
      <c r="B152" s="52">
        <v>7.0819066094634703E-2</v>
      </c>
      <c r="C152" s="52">
        <v>0.28866445724880407</v>
      </c>
      <c r="D152" s="52">
        <v>0.44557076758328557</v>
      </c>
      <c r="E152" s="52">
        <v>0.20011444832904376</v>
      </c>
      <c r="F152" s="52">
        <v>9.6788800201356343E-2</v>
      </c>
      <c r="G152" s="52">
        <v>4.5111913723724577E-2</v>
      </c>
      <c r="H152" s="52">
        <v>0.105040314100156</v>
      </c>
      <c r="I152" s="119">
        <v>262.1561072185936</v>
      </c>
    </row>
    <row r="153" spans="1:9" x14ac:dyDescent="0.3">
      <c r="A153" s="23">
        <v>135</v>
      </c>
      <c r="B153" s="52">
        <v>6.5859768248319059E-2</v>
      </c>
      <c r="C153" s="52">
        <v>0.28853003416557388</v>
      </c>
      <c r="D153" s="52">
        <v>0.6206533567080561</v>
      </c>
      <c r="E153" s="52">
        <v>0.15494500272261935</v>
      </c>
      <c r="F153" s="52">
        <v>0.1011990659730771</v>
      </c>
      <c r="G153" s="52">
        <v>6.0879787607736061E-2</v>
      </c>
      <c r="H153" s="52">
        <v>0.10812520645977811</v>
      </c>
      <c r="I153" s="119">
        <v>361.72162308653776</v>
      </c>
    </row>
    <row r="154" spans="1:9" x14ac:dyDescent="0.3">
      <c r="A154" s="23">
        <v>136</v>
      </c>
      <c r="B154" s="52">
        <v>6.6179701173361971E-2</v>
      </c>
      <c r="C154" s="52">
        <v>0.24467026281715501</v>
      </c>
      <c r="D154" s="52">
        <v>0.64894602382083155</v>
      </c>
      <c r="E154" s="52">
        <v>0.20678127514662939</v>
      </c>
      <c r="F154" s="52">
        <v>9.4208654161563848E-2</v>
      </c>
      <c r="G154" s="52">
        <v>5.3848678209509185E-2</v>
      </c>
      <c r="H154" s="52">
        <v>0.11105454799459373</v>
      </c>
      <c r="I154" s="119">
        <v>198.49557571423091</v>
      </c>
    </row>
    <row r="155" spans="1:9" x14ac:dyDescent="0.3">
      <c r="A155" s="23">
        <v>137</v>
      </c>
      <c r="B155" s="52">
        <v>5.5375757749279941E-2</v>
      </c>
      <c r="C155" s="52">
        <v>0.26247440470285627</v>
      </c>
      <c r="D155" s="52">
        <v>0.43346487732723915</v>
      </c>
      <c r="E155" s="52">
        <v>0.20708144063239053</v>
      </c>
      <c r="F155" s="52">
        <v>9.2358912226889495E-2</v>
      </c>
      <c r="G155" s="52">
        <v>4.4662177114587295E-2</v>
      </c>
      <c r="H155" s="52">
        <v>0.10069827448256781</v>
      </c>
      <c r="I155" s="119">
        <v>186.96104899049368</v>
      </c>
    </row>
    <row r="156" spans="1:9" x14ac:dyDescent="0.3">
      <c r="A156" s="23">
        <v>138</v>
      </c>
      <c r="B156" s="52">
        <v>7.194494584647021E-2</v>
      </c>
      <c r="C156" s="52">
        <v>0.29588069669444045</v>
      </c>
      <c r="D156" s="52">
        <v>0.63741759449469038</v>
      </c>
      <c r="E156" s="52">
        <v>0.15899064245008526</v>
      </c>
      <c r="F156" s="52">
        <v>8.8981516186106696E-2</v>
      </c>
      <c r="G156" s="52">
        <v>4.2672180937132986E-2</v>
      </c>
      <c r="H156" s="52">
        <v>0.10516054139280201</v>
      </c>
      <c r="I156" s="119">
        <v>357.0755205801288</v>
      </c>
    </row>
    <row r="157" spans="1:9" x14ac:dyDescent="0.3">
      <c r="A157" s="23">
        <v>139</v>
      </c>
      <c r="B157" s="52">
        <v>4.2531408030220819E-2</v>
      </c>
      <c r="C157" s="52">
        <v>0.31329102213496185</v>
      </c>
      <c r="D157" s="52">
        <v>0.50066710959539473</v>
      </c>
      <c r="E157" s="52">
        <v>0.17965425835575544</v>
      </c>
      <c r="F157" s="52">
        <v>8.4220733868449887E-2</v>
      </c>
      <c r="G157" s="52">
        <v>5.3169976564278187E-2</v>
      </c>
      <c r="H157" s="52">
        <v>9.3420728582271101E-2</v>
      </c>
      <c r="I157" s="119">
        <v>616.17593116623925</v>
      </c>
    </row>
    <row r="158" spans="1:9" x14ac:dyDescent="0.3">
      <c r="A158" s="23">
        <v>140</v>
      </c>
      <c r="B158" s="52">
        <v>5.7173804188818587E-2</v>
      </c>
      <c r="C158" s="52">
        <v>0.2640663902849959</v>
      </c>
      <c r="D158" s="52">
        <v>0.59518456805055353</v>
      </c>
      <c r="E158" s="52">
        <v>0.17902240538615771</v>
      </c>
      <c r="F158" s="52">
        <v>9.7082695042427267E-2</v>
      </c>
      <c r="G158" s="52">
        <v>5.537427145110959E-2</v>
      </c>
      <c r="H158" s="52">
        <v>8.5589043856823754E-2</v>
      </c>
      <c r="I158" s="119">
        <v>241.26654537369217</v>
      </c>
    </row>
    <row r="159" spans="1:9" x14ac:dyDescent="0.3">
      <c r="A159" s="23">
        <v>141</v>
      </c>
      <c r="B159" s="52">
        <v>6.6391365795809912E-2</v>
      </c>
      <c r="C159" s="52">
        <v>0.2737476250930424</v>
      </c>
      <c r="D159" s="52">
        <v>0.58435549565209677</v>
      </c>
      <c r="E159" s="52">
        <v>0.18725653372642143</v>
      </c>
      <c r="F159" s="52">
        <v>8.3403350480365457E-2</v>
      </c>
      <c r="G159" s="52">
        <v>6.4693640858638018E-2</v>
      </c>
      <c r="H159" s="52">
        <v>0.11458756636752476</v>
      </c>
      <c r="I159" s="119">
        <v>933.25408188211941</v>
      </c>
    </row>
    <row r="160" spans="1:9" x14ac:dyDescent="0.3">
      <c r="A160" s="23">
        <v>142</v>
      </c>
      <c r="B160" s="52">
        <v>5.2536580121972702E-2</v>
      </c>
      <c r="C160" s="52">
        <v>0.2675744047380807</v>
      </c>
      <c r="D160" s="52">
        <v>0.52810548099616228</v>
      </c>
      <c r="E160" s="52">
        <v>0.17749856442590328</v>
      </c>
      <c r="F160" s="52">
        <v>9.7696012230879675E-2</v>
      </c>
      <c r="G160" s="52">
        <v>5.7688529366940876E-2</v>
      </c>
      <c r="H160" s="52">
        <v>0.11502776393558006</v>
      </c>
      <c r="I160" s="119">
        <v>263.1141445958109</v>
      </c>
    </row>
    <row r="161" spans="1:9" x14ac:dyDescent="0.3">
      <c r="A161" s="23">
        <v>143</v>
      </c>
      <c r="B161" s="52">
        <v>5.8886935090366424E-2</v>
      </c>
      <c r="C161" s="52">
        <v>0.26968303426204487</v>
      </c>
      <c r="D161" s="52">
        <v>0.48273002523260289</v>
      </c>
      <c r="E161" s="52">
        <v>0.19478613747773688</v>
      </c>
      <c r="F161" s="52">
        <v>0.10026355242431853</v>
      </c>
      <c r="G161" s="52">
        <v>4.8522385911027394E-2</v>
      </c>
      <c r="H161" s="52">
        <v>8.3313230331501703E-2</v>
      </c>
      <c r="I161" s="119">
        <v>174.59979862330096</v>
      </c>
    </row>
    <row r="162" spans="1:9" x14ac:dyDescent="0.3">
      <c r="A162" s="23">
        <v>144</v>
      </c>
      <c r="B162" s="52">
        <v>7.1227154954702721E-2</v>
      </c>
      <c r="C162" s="52">
        <v>0.27247081960133068</v>
      </c>
      <c r="D162" s="52">
        <v>0.51388927810851104</v>
      </c>
      <c r="E162" s="52">
        <v>0.19260375492290743</v>
      </c>
      <c r="F162" s="52">
        <v>8.8969865565203754E-2</v>
      </c>
      <c r="G162" s="52">
        <v>5.3437037973385573E-2</v>
      </c>
      <c r="H162" s="52">
        <v>0.11540958449958442</v>
      </c>
      <c r="I162" s="119">
        <v>401.63353016199619</v>
      </c>
    </row>
    <row r="163" spans="1:9" x14ac:dyDescent="0.3">
      <c r="A163" s="23">
        <v>145</v>
      </c>
      <c r="B163" s="52">
        <v>6.8888002098175236E-2</v>
      </c>
      <c r="C163" s="52">
        <v>0.27490599532968701</v>
      </c>
      <c r="D163" s="52">
        <v>0.57017022230890158</v>
      </c>
      <c r="E163" s="52">
        <v>0.19522285240757722</v>
      </c>
      <c r="F163" s="52">
        <v>0.10382539805643735</v>
      </c>
      <c r="G163" s="52">
        <v>4.0817275646468074E-2</v>
      </c>
      <c r="H163" s="52">
        <v>0.11196742552497599</v>
      </c>
      <c r="I163" s="119">
        <v>133.86544295786967</v>
      </c>
    </row>
    <row r="164" spans="1:9" x14ac:dyDescent="0.3">
      <c r="A164" s="23">
        <v>146</v>
      </c>
      <c r="B164" s="52">
        <v>5.7731330936006797E-2</v>
      </c>
      <c r="C164" s="52">
        <v>0.30371326576946422</v>
      </c>
      <c r="D164" s="52">
        <v>0.52910865312648137</v>
      </c>
      <c r="E164" s="52">
        <v>0.18441781457144713</v>
      </c>
      <c r="F164" s="52">
        <v>9.9535570956037794E-2</v>
      </c>
      <c r="G164" s="52">
        <v>6.3003231005152857E-2</v>
      </c>
      <c r="H164" s="52">
        <v>9.4593093991011915E-2</v>
      </c>
      <c r="I164" s="119">
        <v>464.18787690227958</v>
      </c>
    </row>
    <row r="165" spans="1:9" x14ac:dyDescent="0.3">
      <c r="A165" s="23">
        <v>147</v>
      </c>
      <c r="B165" s="52">
        <v>5.824721899863769E-2</v>
      </c>
      <c r="C165" s="52">
        <v>0.27421944221330324</v>
      </c>
      <c r="D165" s="52">
        <v>0.45132359192608207</v>
      </c>
      <c r="E165" s="52">
        <v>0.19186597206948419</v>
      </c>
      <c r="F165" s="52">
        <v>0.10362255865804773</v>
      </c>
      <c r="G165" s="52">
        <v>5.9892355625266396E-2</v>
      </c>
      <c r="H165" s="52">
        <v>0.10754338828129628</v>
      </c>
      <c r="I165" s="119">
        <v>248.97250487421775</v>
      </c>
    </row>
    <row r="166" spans="1:9" x14ac:dyDescent="0.3">
      <c r="A166" s="23">
        <v>148</v>
      </c>
      <c r="B166" s="52">
        <v>5.5429404151092841E-2</v>
      </c>
      <c r="C166" s="52">
        <v>0.2993876788135077</v>
      </c>
      <c r="D166" s="52">
        <v>0.58942615027183454</v>
      </c>
      <c r="E166" s="52">
        <v>0.20590555955781994</v>
      </c>
      <c r="F166" s="52">
        <v>8.3237766157757229E-2</v>
      </c>
      <c r="G166" s="52">
        <v>5.9077726970841599E-2</v>
      </c>
      <c r="H166" s="52">
        <v>0.1022218186813288</v>
      </c>
      <c r="I166" s="119">
        <v>809.21638600131746</v>
      </c>
    </row>
    <row r="167" spans="1:9" x14ac:dyDescent="0.3">
      <c r="A167" s="23">
        <v>149</v>
      </c>
      <c r="B167" s="52">
        <v>6.4001037776814554E-2</v>
      </c>
      <c r="C167" s="52">
        <v>0.29986283644134154</v>
      </c>
      <c r="D167" s="52">
        <v>0.43477342910903927</v>
      </c>
      <c r="E167" s="52">
        <v>0.15949763867390976</v>
      </c>
      <c r="F167" s="52">
        <v>9.2417597397046677E-2</v>
      </c>
      <c r="G167" s="52">
        <v>5.0874250001220811E-2</v>
      </c>
      <c r="H167" s="52">
        <v>9.8049831410534069E-2</v>
      </c>
      <c r="I167" s="119">
        <v>405.12420263500945</v>
      </c>
    </row>
    <row r="168" spans="1:9" x14ac:dyDescent="0.3">
      <c r="A168" s="23">
        <v>150</v>
      </c>
      <c r="B168" s="52">
        <v>6.6250365793846425E-2</v>
      </c>
      <c r="C168" s="52">
        <v>0.28881979485363313</v>
      </c>
      <c r="D168" s="52">
        <v>0.70108576625577179</v>
      </c>
      <c r="E168" s="52">
        <v>0.19689830016849585</v>
      </c>
      <c r="F168" s="52">
        <v>0.10001727525794923</v>
      </c>
      <c r="G168" s="52">
        <v>4.1267834346681069E-2</v>
      </c>
      <c r="H168" s="52">
        <v>9.3892999425259652E-2</v>
      </c>
      <c r="I168" s="119">
        <v>198.37153687907934</v>
      </c>
    </row>
    <row r="169" spans="1:9" x14ac:dyDescent="0.3">
      <c r="A169" s="23">
        <v>151</v>
      </c>
      <c r="B169" s="52">
        <v>7.2713238446468917E-2</v>
      </c>
      <c r="C169" s="52">
        <v>0.28794594374587179</v>
      </c>
      <c r="D169" s="52">
        <v>0.45154381749053735</v>
      </c>
      <c r="E169" s="52">
        <v>0.19715337637310992</v>
      </c>
      <c r="F169" s="52">
        <v>0.10018698696256928</v>
      </c>
      <c r="G169" s="52">
        <v>5.3098380731175315E-2</v>
      </c>
      <c r="H169" s="52">
        <v>0.10096038927007833</v>
      </c>
      <c r="I169" s="119">
        <v>298.82518470495899</v>
      </c>
    </row>
    <row r="170" spans="1:9" x14ac:dyDescent="0.3">
      <c r="A170" s="23">
        <v>152</v>
      </c>
      <c r="B170" s="52">
        <v>6.8184205077164925E-2</v>
      </c>
      <c r="C170" s="52">
        <v>0.27565464727478284</v>
      </c>
      <c r="D170" s="52">
        <v>0.54462751196994685</v>
      </c>
      <c r="E170" s="52">
        <v>0.17973625408963476</v>
      </c>
      <c r="F170" s="52">
        <v>9.3225111920456946E-2</v>
      </c>
      <c r="G170" s="52">
        <v>5.8552919096055409E-2</v>
      </c>
      <c r="H170" s="52">
        <v>0.11182518727369656</v>
      </c>
      <c r="I170" s="119">
        <v>413.7201524752931</v>
      </c>
    </row>
    <row r="171" spans="1:9" x14ac:dyDescent="0.3">
      <c r="A171" s="23">
        <v>153</v>
      </c>
      <c r="B171" s="52">
        <v>6.2770413440820502E-2</v>
      </c>
      <c r="C171" s="52">
        <v>0.28408616964190858</v>
      </c>
      <c r="D171" s="52">
        <v>0.6979952609663046</v>
      </c>
      <c r="E171" s="52">
        <v>0.1780429160934289</v>
      </c>
      <c r="F171" s="52">
        <v>9.2627660417591226E-2</v>
      </c>
      <c r="G171" s="52">
        <v>5.3817696918006461E-2</v>
      </c>
      <c r="H171" s="52">
        <v>0.1199333273491688</v>
      </c>
      <c r="I171" s="119">
        <v>375.52333482310974</v>
      </c>
    </row>
    <row r="172" spans="1:9" x14ac:dyDescent="0.3">
      <c r="A172" s="23">
        <v>154</v>
      </c>
      <c r="B172" s="52">
        <v>5.9920140957112622E-2</v>
      </c>
      <c r="C172" s="52">
        <v>0.28792435179790887</v>
      </c>
      <c r="D172" s="52">
        <v>0.47832307092324033</v>
      </c>
      <c r="E172" s="52">
        <v>0.18858462032610779</v>
      </c>
      <c r="F172" s="52">
        <v>9.3536432726382471E-2</v>
      </c>
      <c r="G172" s="52">
        <v>3.8096086368471255E-2</v>
      </c>
      <c r="H172" s="52">
        <v>0.11498131473809192</v>
      </c>
      <c r="I172" s="119">
        <v>217.17912858868843</v>
      </c>
    </row>
    <row r="173" spans="1:9" x14ac:dyDescent="0.3">
      <c r="A173" s="23">
        <v>155</v>
      </c>
      <c r="B173" s="52">
        <v>6.5718700075573525E-2</v>
      </c>
      <c r="C173" s="52">
        <v>0.25557610390168023</v>
      </c>
      <c r="D173" s="52">
        <v>0.46449295257579298</v>
      </c>
      <c r="E173" s="52">
        <v>0.20734730655747821</v>
      </c>
      <c r="F173" s="52">
        <v>9.2104334483590261E-2</v>
      </c>
      <c r="G173" s="52">
        <v>4.6002957439175179E-2</v>
      </c>
      <c r="H173" s="52">
        <v>0.11556263499033566</v>
      </c>
      <c r="I173" s="119">
        <v>191.93603910224732</v>
      </c>
    </row>
    <row r="174" spans="1:9" x14ac:dyDescent="0.3">
      <c r="A174" s="23">
        <v>156</v>
      </c>
      <c r="B174" s="52">
        <v>6.8897629876297453E-2</v>
      </c>
      <c r="C174" s="52">
        <v>0.29404724464080667</v>
      </c>
      <c r="D174" s="52">
        <v>0.56246935465871961</v>
      </c>
      <c r="E174" s="52">
        <v>0.20328887304031884</v>
      </c>
      <c r="F174" s="52">
        <v>9.7720208811581943E-2</v>
      </c>
      <c r="G174" s="52">
        <v>5.698569363661149E-2</v>
      </c>
      <c r="H174" s="52">
        <v>0.11402866353958865</v>
      </c>
      <c r="I174" s="119">
        <v>392.89684319412083</v>
      </c>
    </row>
    <row r="175" spans="1:9" x14ac:dyDescent="0.3">
      <c r="A175" s="23">
        <v>157</v>
      </c>
      <c r="B175" s="52">
        <v>5.6483391693535362E-2</v>
      </c>
      <c r="C175" s="52">
        <v>0.29357165198749052</v>
      </c>
      <c r="D175" s="52">
        <v>0.52044587708925683</v>
      </c>
      <c r="E175" s="52">
        <v>0.19008062700613865</v>
      </c>
      <c r="F175" s="52">
        <v>9.5090884304547818E-2</v>
      </c>
      <c r="G175" s="52">
        <v>5.199364082053376E-2</v>
      </c>
      <c r="H175" s="52">
        <v>0.12502503920716151</v>
      </c>
      <c r="I175" s="119">
        <v>338.14571428283392</v>
      </c>
    </row>
    <row r="176" spans="1:9" x14ac:dyDescent="0.3">
      <c r="A176" s="23">
        <v>158</v>
      </c>
      <c r="B176" s="52">
        <v>7.7448209559382197E-2</v>
      </c>
      <c r="C176" s="52">
        <v>0.28426659199978127</v>
      </c>
      <c r="D176" s="52">
        <v>0.50049158852919284</v>
      </c>
      <c r="E176" s="52">
        <v>0.1972942990972964</v>
      </c>
      <c r="F176" s="52">
        <v>9.7984978670491302E-2</v>
      </c>
      <c r="G176" s="52">
        <v>4.1863392303833215E-2</v>
      </c>
      <c r="H176" s="52">
        <v>9.430792394344778E-2</v>
      </c>
      <c r="I176" s="119">
        <v>223.64109296168488</v>
      </c>
    </row>
    <row r="177" spans="1:9" x14ac:dyDescent="0.3">
      <c r="A177" s="23">
        <v>159</v>
      </c>
      <c r="B177" s="52">
        <v>7.021697059958168E-2</v>
      </c>
      <c r="C177" s="52">
        <v>0.26367741899851665</v>
      </c>
      <c r="D177" s="52">
        <v>0.50032330593250751</v>
      </c>
      <c r="E177" s="52">
        <v>0.20213642093971917</v>
      </c>
      <c r="F177" s="52">
        <v>9.578020361572008E-2</v>
      </c>
      <c r="G177" s="52">
        <v>5.7321366481707665E-2</v>
      </c>
      <c r="H177" s="52">
        <v>9.9251323538472491E-2</v>
      </c>
      <c r="I177" s="119">
        <v>303.45318298402128</v>
      </c>
    </row>
    <row r="178" spans="1:9" x14ac:dyDescent="0.3">
      <c r="A178" s="23">
        <v>160</v>
      </c>
      <c r="B178" s="52">
        <v>5.2186721561917213E-2</v>
      </c>
      <c r="C178" s="52">
        <v>0.27601856028013538</v>
      </c>
      <c r="D178" s="52">
        <v>0.51258549697680111</v>
      </c>
      <c r="E178" s="52">
        <v>0.22091160516240596</v>
      </c>
      <c r="F178" s="52">
        <v>9.2633247297712815E-2</v>
      </c>
      <c r="G178" s="52">
        <v>4.2069223916141645E-2</v>
      </c>
      <c r="H178" s="52">
        <v>9.9633231634354807E-2</v>
      </c>
      <c r="I178" s="119">
        <v>203.94240668134381</v>
      </c>
    </row>
    <row r="179" spans="1:9" x14ac:dyDescent="0.3">
      <c r="A179" s="23">
        <v>161</v>
      </c>
      <c r="B179" s="52">
        <v>7.0599998480141993E-2</v>
      </c>
      <c r="C179" s="52">
        <v>0.30179156682728309</v>
      </c>
      <c r="D179" s="52">
        <v>0.52554369899675568</v>
      </c>
      <c r="E179" s="52">
        <v>0.1802783335663472</v>
      </c>
      <c r="F179" s="52">
        <v>8.791411328461142E-2</v>
      </c>
      <c r="G179" s="52">
        <v>4.8808400769551667E-2</v>
      </c>
      <c r="H179" s="52">
        <v>0.1097824579687119</v>
      </c>
      <c r="I179" s="119">
        <v>477.5399540070465</v>
      </c>
    </row>
    <row r="180" spans="1:9" x14ac:dyDescent="0.3">
      <c r="A180" s="23">
        <v>162</v>
      </c>
      <c r="B180" s="52">
        <v>6.0600657771570227E-2</v>
      </c>
      <c r="C180" s="52">
        <v>0.28455231271214887</v>
      </c>
      <c r="D180" s="52">
        <v>0.71242015863082209</v>
      </c>
      <c r="E180" s="52">
        <v>0.1770049660617356</v>
      </c>
      <c r="F180" s="52">
        <v>0.10292375373030545</v>
      </c>
      <c r="G180" s="52">
        <v>4.5191550544585186E-2</v>
      </c>
      <c r="H180" s="52">
        <v>0.10960427687319148</v>
      </c>
      <c r="I180" s="119">
        <v>179.06856114089459</v>
      </c>
    </row>
    <row r="181" spans="1:9" x14ac:dyDescent="0.3">
      <c r="A181" s="23">
        <v>163</v>
      </c>
      <c r="B181" s="52">
        <v>6.2624805891785013E-2</v>
      </c>
      <c r="C181" s="52">
        <v>0.24231967225521553</v>
      </c>
      <c r="D181" s="52">
        <v>0.59774373972454053</v>
      </c>
      <c r="E181" s="52">
        <v>0.17657708868748923</v>
      </c>
      <c r="F181" s="52">
        <v>0.10071936447967342</v>
      </c>
      <c r="G181" s="52">
        <v>5.015029785702136E-2</v>
      </c>
      <c r="H181" s="52">
        <v>0.11431841053507459</v>
      </c>
      <c r="I181" s="119">
        <v>99.436707568807066</v>
      </c>
    </row>
    <row r="182" spans="1:9" x14ac:dyDescent="0.3">
      <c r="A182" s="23">
        <v>164</v>
      </c>
      <c r="B182" s="52">
        <v>6.8382647104016758E-2</v>
      </c>
      <c r="C182" s="52">
        <v>0.27063154694427577</v>
      </c>
      <c r="D182" s="52">
        <v>0.53893359422403697</v>
      </c>
      <c r="E182" s="52">
        <v>0.18723262979782129</v>
      </c>
      <c r="F182" s="52">
        <v>8.042517976448911E-2</v>
      </c>
      <c r="G182" s="52">
        <v>5.1957580712828376E-2</v>
      </c>
      <c r="H182" s="52">
        <v>9.7275953685559552E-2</v>
      </c>
      <c r="I182" s="119">
        <v>550.00955443690145</v>
      </c>
    </row>
    <row r="183" spans="1:9" x14ac:dyDescent="0.3">
      <c r="A183" s="23">
        <v>165</v>
      </c>
      <c r="B183" s="52">
        <v>6.2486550039584643E-2</v>
      </c>
      <c r="C183" s="52">
        <v>0.28643898696747322</v>
      </c>
      <c r="D183" s="52">
        <v>0.4377484311746056</v>
      </c>
      <c r="E183" s="52">
        <v>0.19206946917939174</v>
      </c>
      <c r="F183" s="52">
        <v>0.10075338530510192</v>
      </c>
      <c r="G183" s="52">
        <v>4.0318659178468504E-2</v>
      </c>
      <c r="H183" s="52">
        <v>9.1728386142668497E-2</v>
      </c>
      <c r="I183" s="119">
        <v>174.49534062954845</v>
      </c>
    </row>
    <row r="184" spans="1:9" x14ac:dyDescent="0.3">
      <c r="A184" s="23">
        <v>166</v>
      </c>
      <c r="B184" s="52">
        <v>6.3888915996389392E-2</v>
      </c>
      <c r="C184" s="52">
        <v>0.28482220298035921</v>
      </c>
      <c r="D184" s="52">
        <v>0.51606483389248503</v>
      </c>
      <c r="E184" s="52">
        <v>0.18692602133982861</v>
      </c>
      <c r="F184" s="52">
        <v>0.10233087275356709</v>
      </c>
      <c r="G184" s="52">
        <v>5.4075479796417747E-2</v>
      </c>
      <c r="H184" s="52">
        <v>9.9324758915750586E-2</v>
      </c>
      <c r="I184" s="119">
        <v>256.09701629689249</v>
      </c>
    </row>
    <row r="185" spans="1:9" x14ac:dyDescent="0.3">
      <c r="A185" s="23">
        <v>167</v>
      </c>
      <c r="B185" s="52">
        <v>6.6416214321612183E-2</v>
      </c>
      <c r="C185" s="52">
        <v>0.28484517301922202</v>
      </c>
      <c r="D185" s="52">
        <v>0.61354442412960264</v>
      </c>
      <c r="E185" s="52">
        <v>0.1823679203770488</v>
      </c>
      <c r="F185" s="52">
        <v>9.7107435172024581E-2</v>
      </c>
      <c r="G185" s="52">
        <v>4.2008747238900301E-2</v>
      </c>
      <c r="H185" s="52">
        <v>0.10423204147907196</v>
      </c>
      <c r="I185" s="119">
        <v>215.40026464896974</v>
      </c>
    </row>
    <row r="186" spans="1:9" x14ac:dyDescent="0.3">
      <c r="A186" s="23">
        <v>168</v>
      </c>
      <c r="B186" s="52">
        <v>5.1805377667485837E-2</v>
      </c>
      <c r="C186" s="52">
        <v>0.27832063644118771</v>
      </c>
      <c r="D186" s="52">
        <v>0.44687934355017128</v>
      </c>
      <c r="E186" s="52">
        <v>0.19941284677014998</v>
      </c>
      <c r="F186" s="52">
        <v>9.9073327982530726E-2</v>
      </c>
      <c r="G186" s="52">
        <v>3.9667463857227962E-2</v>
      </c>
      <c r="H186" s="52">
        <v>0.10267693796862443</v>
      </c>
      <c r="I186" s="119">
        <v>144.43918969161462</v>
      </c>
    </row>
    <row r="187" spans="1:9" x14ac:dyDescent="0.3">
      <c r="A187" s="23">
        <v>169</v>
      </c>
      <c r="B187" s="52">
        <v>5.0578430424272007E-2</v>
      </c>
      <c r="C187" s="52">
        <v>0.27379955072141537</v>
      </c>
      <c r="D187" s="52">
        <v>0.50910012498010815</v>
      </c>
      <c r="E187" s="52">
        <v>0.1962914346605488</v>
      </c>
      <c r="F187" s="52">
        <v>9.1844035120290254E-2</v>
      </c>
      <c r="G187" s="52">
        <v>5.6546138329927706E-2</v>
      </c>
      <c r="H187" s="52">
        <v>0.10775029320475119</v>
      </c>
      <c r="I187" s="119">
        <v>356.88834141387082</v>
      </c>
    </row>
    <row r="188" spans="1:9" x14ac:dyDescent="0.3">
      <c r="A188" s="23">
        <v>170</v>
      </c>
      <c r="B188" s="52">
        <v>7.1151366555908313E-2</v>
      </c>
      <c r="C188" s="52">
        <v>0.27911090566961116</v>
      </c>
      <c r="D188" s="52">
        <v>0.49680481820581285</v>
      </c>
      <c r="E188" s="52">
        <v>0.19689703912664017</v>
      </c>
      <c r="F188" s="52">
        <v>0.10838749611533006</v>
      </c>
      <c r="G188" s="52">
        <v>6.9704453340615577E-2</v>
      </c>
      <c r="H188" s="52">
        <v>0.10115324508771434</v>
      </c>
      <c r="I188" s="119">
        <v>342.24014648608511</v>
      </c>
    </row>
    <row r="189" spans="1:9" x14ac:dyDescent="0.3">
      <c r="A189" s="23">
        <v>171</v>
      </c>
      <c r="B189" s="52">
        <v>7.3975384193810972E-2</v>
      </c>
      <c r="C189" s="52">
        <v>0.28448846383920479</v>
      </c>
      <c r="D189" s="52">
        <v>0.62512200829612752</v>
      </c>
      <c r="E189" s="52">
        <v>0.17798071908312704</v>
      </c>
      <c r="F189" s="52">
        <v>0.10530557021409837</v>
      </c>
      <c r="G189" s="52">
        <v>5.7226077070262796E-2</v>
      </c>
      <c r="H189" s="52">
        <v>0.11696168406535296</v>
      </c>
      <c r="I189" s="119">
        <v>270.18422890325684</v>
      </c>
    </row>
    <row r="190" spans="1:9" x14ac:dyDescent="0.3">
      <c r="A190" s="23">
        <v>172</v>
      </c>
      <c r="B190" s="52">
        <v>5.2864459129735072E-2</v>
      </c>
      <c r="C190" s="52">
        <v>0.26590499853035832</v>
      </c>
      <c r="D190" s="52">
        <v>0.49247845597147394</v>
      </c>
      <c r="E190" s="52">
        <v>0.17674381946831691</v>
      </c>
      <c r="F190" s="52">
        <v>0.10479952463364325</v>
      </c>
      <c r="G190" s="52">
        <v>3.6314407815374199E-2</v>
      </c>
      <c r="H190" s="52">
        <v>7.9922891422801207E-2</v>
      </c>
      <c r="I190" s="119">
        <v>66.754556899773547</v>
      </c>
    </row>
    <row r="191" spans="1:9" x14ac:dyDescent="0.3">
      <c r="A191" s="23">
        <v>173</v>
      </c>
      <c r="B191" s="52">
        <v>6.7871686920927293E-2</v>
      </c>
      <c r="C191" s="52">
        <v>0.29236022097969022</v>
      </c>
      <c r="D191" s="52">
        <v>0.6737425323780295</v>
      </c>
      <c r="E191" s="52">
        <v>0.18675932942728979</v>
      </c>
      <c r="F191" s="52">
        <v>0.10389583294104096</v>
      </c>
      <c r="G191" s="52">
        <v>7.0479755187708409E-2</v>
      </c>
      <c r="H191" s="52">
        <v>8.8747604743723965E-2</v>
      </c>
      <c r="I191" s="119">
        <v>488.0371018489484</v>
      </c>
    </row>
    <row r="192" spans="1:9" x14ac:dyDescent="0.3">
      <c r="A192" s="23">
        <v>174</v>
      </c>
      <c r="B192" s="52">
        <v>5.2894064264808478E-2</v>
      </c>
      <c r="C192" s="52">
        <v>0.27657253309707552</v>
      </c>
      <c r="D192" s="52">
        <v>0.49180534568669132</v>
      </c>
      <c r="E192" s="52">
        <v>0.18370574484955066</v>
      </c>
      <c r="F192" s="52">
        <v>0.10336327123483356</v>
      </c>
      <c r="G192" s="52">
        <v>7.0931370490493501E-2</v>
      </c>
      <c r="H192" s="52">
        <v>0.11448432855690356</v>
      </c>
      <c r="I192" s="119">
        <v>396.22843325572632</v>
      </c>
    </row>
    <row r="193" spans="1:9" x14ac:dyDescent="0.3">
      <c r="A193" s="23">
        <v>175</v>
      </c>
      <c r="B193" s="52">
        <v>6.4793550013732853E-2</v>
      </c>
      <c r="C193" s="52">
        <v>0.2807711294250882</v>
      </c>
      <c r="D193" s="52">
        <v>0.48192221479696234</v>
      </c>
      <c r="E193" s="52">
        <v>0.20592721187592439</v>
      </c>
      <c r="F193" s="52">
        <v>9.5527621008531863E-2</v>
      </c>
      <c r="G193" s="52">
        <v>5.3360619541155188E-2</v>
      </c>
      <c r="H193" s="52">
        <v>0.11095026919892199</v>
      </c>
      <c r="I193" s="119">
        <v>317.67429140946581</v>
      </c>
    </row>
    <row r="194" spans="1:9" x14ac:dyDescent="0.3">
      <c r="A194" s="23">
        <v>176</v>
      </c>
      <c r="B194" s="52">
        <v>7.1806018948636752E-2</v>
      </c>
      <c r="C194" s="52">
        <v>0.28875360413632151</v>
      </c>
      <c r="D194" s="52">
        <v>0.54823842852271776</v>
      </c>
      <c r="E194" s="52">
        <v>0.1854018047248715</v>
      </c>
      <c r="F194" s="52">
        <v>8.1574219175009302E-2</v>
      </c>
      <c r="G194" s="52">
        <v>3.497049079992573E-2</v>
      </c>
      <c r="H194" s="52">
        <v>0.10493988884682018</v>
      </c>
      <c r="I194" s="119">
        <v>341.87493461189052</v>
      </c>
    </row>
    <row r="195" spans="1:9" x14ac:dyDescent="0.3">
      <c r="A195" s="23">
        <v>177</v>
      </c>
      <c r="B195" s="52">
        <v>4.5206578195064157E-2</v>
      </c>
      <c r="C195" s="52">
        <v>0.27162254329017066</v>
      </c>
      <c r="D195" s="52">
        <v>0.43423573715251751</v>
      </c>
      <c r="E195" s="52">
        <v>0.1937309251920705</v>
      </c>
      <c r="F195" s="52">
        <v>9.4851517871921143E-2</v>
      </c>
      <c r="G195" s="52">
        <v>5.9195969279080149E-2</v>
      </c>
      <c r="H195" s="52">
        <v>0.1126273388228429</v>
      </c>
      <c r="I195" s="119">
        <v>324.42687709028456</v>
      </c>
    </row>
    <row r="196" spans="1:9" x14ac:dyDescent="0.3">
      <c r="A196" s="23">
        <v>178</v>
      </c>
      <c r="B196" s="52">
        <v>5.1087625344873808E-2</v>
      </c>
      <c r="C196" s="52">
        <v>0.2448049397455247</v>
      </c>
      <c r="D196" s="52">
        <v>0.59354921690911189</v>
      </c>
      <c r="E196" s="52">
        <v>0.16671516193380215</v>
      </c>
      <c r="F196" s="52">
        <v>0.1030081743709988</v>
      </c>
      <c r="G196" s="52">
        <v>5.0014496911260219E-2</v>
      </c>
      <c r="H196" s="52">
        <v>0.11506333027388549</v>
      </c>
      <c r="I196" s="119">
        <v>77.873664231777525</v>
      </c>
    </row>
    <row r="197" spans="1:9" x14ac:dyDescent="0.3">
      <c r="A197" s="23">
        <v>179</v>
      </c>
      <c r="B197" s="52">
        <v>5.7243711214613718E-2</v>
      </c>
      <c r="C197" s="52">
        <v>0.27522472261218056</v>
      </c>
      <c r="D197" s="52">
        <v>0.63221088311668316</v>
      </c>
      <c r="E197" s="52">
        <v>0.1684419559141295</v>
      </c>
      <c r="F197" s="52">
        <v>8.7599768087614105E-2</v>
      </c>
      <c r="G197" s="52">
        <v>5.4824185670120207E-2</v>
      </c>
      <c r="H197" s="52">
        <v>9.0645934459346461E-2</v>
      </c>
      <c r="I197" s="119">
        <v>431.25662348744936</v>
      </c>
    </row>
    <row r="198" spans="1:9" x14ac:dyDescent="0.3">
      <c r="A198" s="23">
        <v>180</v>
      </c>
      <c r="B198" s="52">
        <v>5.6078367455709939E-2</v>
      </c>
      <c r="C198" s="52">
        <v>0.29001280358983172</v>
      </c>
      <c r="D198" s="52">
        <v>0.71750833043243056</v>
      </c>
      <c r="E198" s="52">
        <v>0.19639127861444816</v>
      </c>
      <c r="F198" s="52">
        <v>9.9586466082927538E-2</v>
      </c>
      <c r="G198" s="52">
        <v>5.0332782396345713E-2</v>
      </c>
      <c r="H198" s="52">
        <v>9.975912959248108E-2</v>
      </c>
      <c r="I198" s="119">
        <v>254.71268079365555</v>
      </c>
    </row>
    <row r="199" spans="1:9" x14ac:dyDescent="0.3">
      <c r="A199" s="23">
        <v>181</v>
      </c>
      <c r="B199" s="52">
        <v>6.1099602831191521E-2</v>
      </c>
      <c r="C199" s="52">
        <v>0.28222238783142783</v>
      </c>
      <c r="D199" s="52">
        <v>0.43063084325146878</v>
      </c>
      <c r="E199" s="52">
        <v>0.20711476164097267</v>
      </c>
      <c r="F199" s="52">
        <v>9.4767257720144674E-2</v>
      </c>
      <c r="G199" s="52">
        <v>3.575240360226048E-2</v>
      </c>
      <c r="H199" s="52">
        <v>0.11181146024100815</v>
      </c>
      <c r="I199" s="119">
        <v>177.33671595259429</v>
      </c>
    </row>
    <row r="200" spans="1:9" x14ac:dyDescent="0.3">
      <c r="A200" s="23">
        <v>182</v>
      </c>
      <c r="B200" s="52">
        <v>7.9622941740442529E-2</v>
      </c>
      <c r="C200" s="52">
        <v>0.29809024337640072</v>
      </c>
      <c r="D200" s="52">
        <v>0.50645317564467773</v>
      </c>
      <c r="E200" s="52">
        <v>0.20129490019069665</v>
      </c>
      <c r="F200" s="52">
        <v>0.10036962081043249</v>
      </c>
      <c r="G200" s="52">
        <v>4.8505391546140121E-2</v>
      </c>
      <c r="H200" s="52">
        <v>0.11124212771627326</v>
      </c>
      <c r="I200" s="119">
        <v>302.88693447845918</v>
      </c>
    </row>
    <row r="201" spans="1:9" x14ac:dyDescent="0.3">
      <c r="A201" s="23">
        <v>183</v>
      </c>
      <c r="B201" s="52">
        <v>5.312536870921112E-2</v>
      </c>
      <c r="C201" s="52">
        <v>0.26857928923152669</v>
      </c>
      <c r="D201" s="52">
        <v>0.46325522538741287</v>
      </c>
      <c r="E201" s="52">
        <v>0.18151693582301287</v>
      </c>
      <c r="F201" s="52">
        <v>9.4555399018893538E-2</v>
      </c>
      <c r="G201" s="52">
        <v>5.7976253928938473E-2</v>
      </c>
      <c r="H201" s="52">
        <v>0.11777490072176122</v>
      </c>
      <c r="I201" s="119">
        <v>316.34015423174253</v>
      </c>
    </row>
    <row r="202" spans="1:9" x14ac:dyDescent="0.3">
      <c r="A202" s="23">
        <v>184</v>
      </c>
      <c r="B202" s="52">
        <v>6.2608394348811186E-2</v>
      </c>
      <c r="C202" s="52">
        <v>0.2428984993534222</v>
      </c>
      <c r="D202" s="52">
        <v>0.43078264960065632</v>
      </c>
      <c r="E202" s="52">
        <v>0.17993750174699938</v>
      </c>
      <c r="F202" s="52">
        <v>8.5485161833507364E-2</v>
      </c>
      <c r="G202" s="52">
        <v>6.0603427346454075E-2</v>
      </c>
      <c r="H202" s="52">
        <v>0.10856880477679512</v>
      </c>
      <c r="I202" s="119">
        <v>443.14020857016845</v>
      </c>
    </row>
    <row r="203" spans="1:9" x14ac:dyDescent="0.3">
      <c r="A203" s="23">
        <v>185</v>
      </c>
      <c r="B203" s="52">
        <v>8.5002692016151807E-2</v>
      </c>
      <c r="C203" s="52">
        <v>0.29800211708596258</v>
      </c>
      <c r="D203" s="52">
        <v>0.61163396522098434</v>
      </c>
      <c r="E203" s="52">
        <v>0.21742012009663425</v>
      </c>
      <c r="F203" s="52">
        <v>9.47644416140659E-2</v>
      </c>
      <c r="G203" s="52">
        <v>5.2681974283397257E-2</v>
      </c>
      <c r="H203" s="52">
        <v>9.841837222026828E-2</v>
      </c>
      <c r="I203" s="119">
        <v>437.13199477305358</v>
      </c>
    </row>
    <row r="204" spans="1:9" x14ac:dyDescent="0.3">
      <c r="A204" s="23">
        <v>186</v>
      </c>
      <c r="B204" s="52">
        <v>6.2010026303910774E-2</v>
      </c>
      <c r="C204" s="52">
        <v>0.27088794021147239</v>
      </c>
      <c r="D204" s="52">
        <v>0.50052383540490597</v>
      </c>
      <c r="E204" s="52">
        <v>0.17109208478408372</v>
      </c>
      <c r="F204" s="52">
        <v>8.9960088976529545E-2</v>
      </c>
      <c r="G204" s="52">
        <v>6.4822715537162429E-2</v>
      </c>
      <c r="H204" s="52">
        <v>9.7419339842617608E-2</v>
      </c>
      <c r="I204" s="119">
        <v>597.18010783153761</v>
      </c>
    </row>
    <row r="205" spans="1:9" x14ac:dyDescent="0.3">
      <c r="A205" s="23">
        <v>187</v>
      </c>
      <c r="B205" s="52">
        <v>6.8108882416576394E-2</v>
      </c>
      <c r="C205" s="52">
        <v>0.28072583625001851</v>
      </c>
      <c r="D205" s="52">
        <v>0.43133165876336194</v>
      </c>
      <c r="E205" s="52">
        <v>0.19640679620617721</v>
      </c>
      <c r="F205" s="52">
        <v>0.10484505198679958</v>
      </c>
      <c r="G205" s="52">
        <v>5.7102824163347429E-2</v>
      </c>
      <c r="H205" s="52">
        <v>0.11076104197455099</v>
      </c>
      <c r="I205" s="119">
        <v>250.14810376603813</v>
      </c>
    </row>
    <row r="206" spans="1:9" x14ac:dyDescent="0.3">
      <c r="A206" s="23">
        <v>188</v>
      </c>
      <c r="B206" s="52">
        <v>7.3951860323657595E-2</v>
      </c>
      <c r="C206" s="52">
        <v>0.2478827947459169</v>
      </c>
      <c r="D206" s="52">
        <v>0.68388811026554308</v>
      </c>
      <c r="E206" s="52">
        <v>0.20512784936918513</v>
      </c>
      <c r="F206" s="52">
        <v>8.5550007449902418E-2</v>
      </c>
      <c r="G206" s="52">
        <v>5.8231679090177173E-2</v>
      </c>
      <c r="H206" s="52">
        <v>0.11587841378541751</v>
      </c>
      <c r="I206" s="119">
        <v>442.93563436683479</v>
      </c>
    </row>
    <row r="207" spans="1:9" x14ac:dyDescent="0.3">
      <c r="A207" s="23">
        <v>189</v>
      </c>
      <c r="B207" s="52">
        <v>6.442316823076974E-2</v>
      </c>
      <c r="C207" s="52">
        <v>0.30235162803778765</v>
      </c>
      <c r="D207" s="52">
        <v>0.65920898260036798</v>
      </c>
      <c r="E207" s="52">
        <v>0.18795914055733332</v>
      </c>
      <c r="F207" s="52">
        <v>9.0751803686431903E-2</v>
      </c>
      <c r="G207" s="52">
        <v>6.1425660346430808E-2</v>
      </c>
      <c r="H207" s="52">
        <v>0.11679945752065075</v>
      </c>
      <c r="I207" s="119">
        <v>661.46559322159317</v>
      </c>
    </row>
    <row r="208" spans="1:9" x14ac:dyDescent="0.3">
      <c r="A208" s="23">
        <v>190</v>
      </c>
      <c r="B208" s="52">
        <v>5.6019955530095387E-2</v>
      </c>
      <c r="C208" s="52">
        <v>0.27903585569281664</v>
      </c>
      <c r="D208" s="52">
        <v>0.49332209933969667</v>
      </c>
      <c r="E208" s="52">
        <v>0.20802543237939233</v>
      </c>
      <c r="F208" s="52">
        <v>9.494813983812736E-2</v>
      </c>
      <c r="G208" s="52">
        <v>5.0420913594069597E-2</v>
      </c>
      <c r="H208" s="52">
        <v>9.44892884186357E-2</v>
      </c>
      <c r="I208" s="119">
        <v>269.34183374456853</v>
      </c>
    </row>
    <row r="209" spans="1:9" x14ac:dyDescent="0.3">
      <c r="A209" s="23">
        <v>191</v>
      </c>
      <c r="B209" s="52">
        <v>7.4864970627231034E-2</v>
      </c>
      <c r="C209" s="52">
        <v>0.2643215469828199</v>
      </c>
      <c r="D209" s="52">
        <v>0.48776389137973269</v>
      </c>
      <c r="E209" s="52">
        <v>0.17281203459459027</v>
      </c>
      <c r="F209" s="52">
        <v>9.5899680568022505E-2</v>
      </c>
      <c r="G209" s="52">
        <v>5.0052220612571405E-2</v>
      </c>
      <c r="H209" s="52">
        <v>8.5043736806424991E-2</v>
      </c>
      <c r="I209" s="119">
        <v>235.41833529724988</v>
      </c>
    </row>
    <row r="210" spans="1:9" x14ac:dyDescent="0.3">
      <c r="A210" s="23">
        <v>192</v>
      </c>
      <c r="B210" s="52">
        <v>6.0149176184222858E-2</v>
      </c>
      <c r="C210" s="52">
        <v>0.31429153994583314</v>
      </c>
      <c r="D210" s="52">
        <v>0.59981895792907491</v>
      </c>
      <c r="E210" s="52">
        <v>0.18589473050220631</v>
      </c>
      <c r="F210" s="52">
        <v>8.2368393404461615E-2</v>
      </c>
      <c r="G210" s="52">
        <v>5.6739998309108253E-2</v>
      </c>
      <c r="H210" s="52">
        <v>0.11544468424253426</v>
      </c>
      <c r="I210" s="119">
        <v>867.5387249644034</v>
      </c>
    </row>
    <row r="211" spans="1:9" x14ac:dyDescent="0.3">
      <c r="A211" s="23">
        <v>193</v>
      </c>
      <c r="B211" s="52">
        <v>7.4497692558996367E-2</v>
      </c>
      <c r="C211" s="52">
        <v>0.3010002218992614</v>
      </c>
      <c r="D211" s="52">
        <v>0.65352949246324676</v>
      </c>
      <c r="E211" s="52">
        <v>0.18223190550083421</v>
      </c>
      <c r="F211" s="52">
        <v>8.9337328039599123E-2</v>
      </c>
      <c r="G211" s="52">
        <v>4.4136897717516541E-2</v>
      </c>
      <c r="H211" s="52">
        <v>0.11782562354214143</v>
      </c>
      <c r="I211" s="119">
        <v>394.85593392945611</v>
      </c>
    </row>
    <row r="212" spans="1:9" x14ac:dyDescent="0.3">
      <c r="A212" s="23">
        <v>194</v>
      </c>
      <c r="B212" s="52">
        <v>6.9341795469279932E-2</v>
      </c>
      <c r="C212" s="52">
        <v>0.2808733729240615</v>
      </c>
      <c r="D212" s="52">
        <v>0.49760054248366692</v>
      </c>
      <c r="E212" s="52">
        <v>0.18628790252808447</v>
      </c>
      <c r="F212" s="52">
        <v>9.378328101230593E-2</v>
      </c>
      <c r="G212" s="52">
        <v>5.8782603893803798E-2</v>
      </c>
      <c r="H212" s="52">
        <v>0.11104166966478191</v>
      </c>
      <c r="I212" s="119">
        <v>434.1406622794475</v>
      </c>
    </row>
    <row r="213" spans="1:9" x14ac:dyDescent="0.3">
      <c r="A213" s="23">
        <v>195</v>
      </c>
      <c r="B213" s="52">
        <v>6.0926251997603639E-2</v>
      </c>
      <c r="C213" s="52">
        <v>0.28656402182480234</v>
      </c>
      <c r="D213" s="52">
        <v>0.46655776121533249</v>
      </c>
      <c r="E213" s="52">
        <v>0.18401982431548514</v>
      </c>
      <c r="F213" s="52">
        <v>8.6909386861846863E-2</v>
      </c>
      <c r="G213" s="52">
        <v>6.1321663795144463E-2</v>
      </c>
      <c r="H213" s="52">
        <v>0.10452777073389623</v>
      </c>
      <c r="I213" s="119">
        <v>685.04777615188175</v>
      </c>
    </row>
    <row r="214" spans="1:9" x14ac:dyDescent="0.3">
      <c r="A214" s="23">
        <v>196</v>
      </c>
      <c r="B214" s="52">
        <v>6.287869255683462E-2</v>
      </c>
      <c r="C214" s="52">
        <v>0.26242806895797877</v>
      </c>
      <c r="D214" s="52">
        <v>0.55825147829239952</v>
      </c>
      <c r="E214" s="52">
        <v>0.16381134656069279</v>
      </c>
      <c r="F214" s="52">
        <v>0.10718270673195006</v>
      </c>
      <c r="G214" s="52">
        <v>6.0443829190328854E-2</v>
      </c>
      <c r="H214" s="52">
        <v>0.10597503340158074</v>
      </c>
      <c r="I214" s="119">
        <v>183.71728168447814</v>
      </c>
    </row>
    <row r="215" spans="1:9" x14ac:dyDescent="0.3">
      <c r="A215" s="23">
        <v>197</v>
      </c>
      <c r="B215" s="52">
        <v>7.0766738663378556E-2</v>
      </c>
      <c r="C215" s="52">
        <v>0.28440639483276697</v>
      </c>
      <c r="D215" s="52">
        <v>0.49333531810659303</v>
      </c>
      <c r="E215" s="52">
        <v>0.19035070357614597</v>
      </c>
      <c r="F215" s="52">
        <v>9.8365623942220773E-2</v>
      </c>
      <c r="G215" s="52">
        <v>5.3384887084190188E-2</v>
      </c>
      <c r="H215" s="52">
        <v>0.10928225179529816</v>
      </c>
      <c r="I215" s="119">
        <v>307.03899221046464</v>
      </c>
    </row>
    <row r="216" spans="1:9" x14ac:dyDescent="0.3">
      <c r="A216" s="23">
        <v>198</v>
      </c>
      <c r="B216" s="52">
        <v>6.1573528036887558E-2</v>
      </c>
      <c r="C216" s="52">
        <v>0.25769471962703938</v>
      </c>
      <c r="D216" s="52">
        <v>0.48751310101909062</v>
      </c>
      <c r="E216" s="52">
        <v>0.1993972109890087</v>
      </c>
      <c r="F216" s="52">
        <v>9.281342895939039E-2</v>
      </c>
      <c r="G216" s="52">
        <v>5.7033621546144692E-2</v>
      </c>
      <c r="H216" s="52">
        <v>0.10147007300353589</v>
      </c>
      <c r="I216" s="119">
        <v>300.90279184354745</v>
      </c>
    </row>
    <row r="217" spans="1:9" x14ac:dyDescent="0.3">
      <c r="A217" s="23">
        <v>199</v>
      </c>
      <c r="B217" s="52">
        <v>6.1704356709955555E-2</v>
      </c>
      <c r="C217" s="52">
        <v>0.28533877862960833</v>
      </c>
      <c r="D217" s="52">
        <v>0.54237504830348493</v>
      </c>
      <c r="E217" s="52">
        <v>0.2092757993744051</v>
      </c>
      <c r="F217" s="52">
        <v>0.10116088346405692</v>
      </c>
      <c r="G217" s="52">
        <v>4.4231332862872952E-2</v>
      </c>
      <c r="H217" s="52">
        <v>0.11156490807924602</v>
      </c>
      <c r="I217" s="119">
        <v>190.67496234885971</v>
      </c>
    </row>
    <row r="218" spans="1:9" x14ac:dyDescent="0.3">
      <c r="A218" s="23">
        <v>200</v>
      </c>
      <c r="B218" s="52">
        <v>5.6578094727318201E-2</v>
      </c>
      <c r="C218" s="52">
        <v>0.28556711084467779</v>
      </c>
      <c r="D218" s="52">
        <v>0.65669652938203915</v>
      </c>
      <c r="E218" s="52">
        <v>0.19916512314900162</v>
      </c>
      <c r="F218" s="52">
        <v>9.7543006007844574E-2</v>
      </c>
      <c r="G218" s="52">
        <v>5.9628269377251186E-2</v>
      </c>
      <c r="H218" s="52">
        <v>0.11429864346538691</v>
      </c>
      <c r="I218" s="119">
        <v>369.23035678157146</v>
      </c>
    </row>
    <row r="219" spans="1:9" x14ac:dyDescent="0.3">
      <c r="A219" s="23">
        <v>201</v>
      </c>
      <c r="B219" s="52">
        <v>6.9292198644710853E-2</v>
      </c>
      <c r="C219" s="52">
        <v>0.28368815266996156</v>
      </c>
      <c r="D219" s="52">
        <v>0.53890763504553085</v>
      </c>
      <c r="E219" s="52">
        <v>0.1872618078017915</v>
      </c>
      <c r="F219" s="52">
        <v>0.10230174591135485</v>
      </c>
      <c r="G219" s="52">
        <v>5.7593632851976627E-2</v>
      </c>
      <c r="H219" s="52">
        <v>0.10043793562704828</v>
      </c>
      <c r="I219" s="119">
        <v>296.77675607442148</v>
      </c>
    </row>
    <row r="220" spans="1:9" x14ac:dyDescent="0.3">
      <c r="A220" s="23">
        <v>202</v>
      </c>
      <c r="B220" s="52">
        <v>6.6901982324040085E-2</v>
      </c>
      <c r="C220" s="52">
        <v>0.27867986129537564</v>
      </c>
      <c r="D220" s="52">
        <v>0.54024381204995442</v>
      </c>
      <c r="E220" s="52">
        <v>0.21191712804955457</v>
      </c>
      <c r="F220" s="52">
        <v>8.3848543771394723E-2</v>
      </c>
      <c r="G220" s="52">
        <v>3.5548423075481693E-2</v>
      </c>
      <c r="H220" s="52">
        <v>9.6607777138193102E-2</v>
      </c>
      <c r="I220" s="119">
        <v>272.80556040491723</v>
      </c>
    </row>
    <row r="221" spans="1:9" x14ac:dyDescent="0.3">
      <c r="A221" s="23">
        <v>203</v>
      </c>
      <c r="B221" s="52">
        <v>7.8515778901300612E-2</v>
      </c>
      <c r="C221" s="52">
        <v>0.27856599575330593</v>
      </c>
      <c r="D221" s="52">
        <v>0.66202978649101341</v>
      </c>
      <c r="E221" s="52">
        <v>0.19630101023442931</v>
      </c>
      <c r="F221" s="52">
        <v>8.6261213926541361E-2</v>
      </c>
      <c r="G221" s="52">
        <v>5.2522776339434599E-2</v>
      </c>
      <c r="H221" s="52">
        <v>0.10574944542345255</v>
      </c>
      <c r="I221" s="119">
        <v>489.07081286754044</v>
      </c>
    </row>
    <row r="222" spans="1:9" x14ac:dyDescent="0.3">
      <c r="A222" s="23">
        <v>204</v>
      </c>
      <c r="B222" s="52">
        <v>5.4444375357295322E-2</v>
      </c>
      <c r="C222" s="52">
        <v>0.28248947797015311</v>
      </c>
      <c r="D222" s="52">
        <v>0.46670468131452797</v>
      </c>
      <c r="E222" s="52">
        <v>0.22295096120273081</v>
      </c>
      <c r="F222" s="52">
        <v>9.5000416126586773E-2</v>
      </c>
      <c r="G222" s="52">
        <v>2.9072248501319464E-2</v>
      </c>
      <c r="H222" s="52">
        <v>9.7745721149223252E-2</v>
      </c>
      <c r="I222" s="119">
        <v>131.90666063161692</v>
      </c>
    </row>
    <row r="223" spans="1:9" x14ac:dyDescent="0.3">
      <c r="A223" s="23">
        <v>205</v>
      </c>
      <c r="B223" s="52">
        <v>5.7854247119732902E-2</v>
      </c>
      <c r="C223" s="52">
        <v>0.26934937600071807</v>
      </c>
      <c r="D223" s="52">
        <v>0.52617122063486865</v>
      </c>
      <c r="E223" s="52">
        <v>0.20285410246286473</v>
      </c>
      <c r="F223" s="52">
        <v>9.5840988848292688E-2</v>
      </c>
      <c r="G223" s="52">
        <v>5.4864565380510689E-2</v>
      </c>
      <c r="H223" s="52">
        <v>8.8451727381035808E-2</v>
      </c>
      <c r="I223" s="119">
        <v>272.58184645351656</v>
      </c>
    </row>
    <row r="224" spans="1:9" x14ac:dyDescent="0.3">
      <c r="A224" s="23">
        <v>206</v>
      </c>
      <c r="B224" s="52">
        <v>6.3291033804324881E-2</v>
      </c>
      <c r="C224" s="52">
        <v>0.28903556659696689</v>
      </c>
      <c r="D224" s="52">
        <v>0.62322280516231865</v>
      </c>
      <c r="E224" s="52">
        <v>0.20476875079634649</v>
      </c>
      <c r="F224" s="52">
        <v>9.7792994365721114E-2</v>
      </c>
      <c r="G224" s="52">
        <v>5.9503690393729311E-2</v>
      </c>
      <c r="H224" s="52">
        <v>0.10335857307487561</v>
      </c>
      <c r="I224" s="119">
        <v>393.40773583494513</v>
      </c>
    </row>
    <row r="225" spans="1:9" x14ac:dyDescent="0.3">
      <c r="A225" s="23">
        <v>207</v>
      </c>
      <c r="B225" s="52">
        <v>6.4492427953586257E-2</v>
      </c>
      <c r="C225" s="52">
        <v>0.25511881869617575</v>
      </c>
      <c r="D225" s="52">
        <v>0.46725561403188415</v>
      </c>
      <c r="E225" s="52">
        <v>0.20189159729122197</v>
      </c>
      <c r="F225" s="52">
        <v>8.7839531967458043E-2</v>
      </c>
      <c r="G225" s="52">
        <v>4.7390835529059573E-2</v>
      </c>
      <c r="H225" s="52">
        <v>0.11122633953208244</v>
      </c>
      <c r="I225" s="119">
        <v>248.13544249165025</v>
      </c>
    </row>
    <row r="226" spans="1:9" x14ac:dyDescent="0.3">
      <c r="A226" s="23">
        <v>208</v>
      </c>
      <c r="B226" s="52">
        <v>6.5084122704419739E-2</v>
      </c>
      <c r="C226" s="52">
        <v>0.29995795326382407</v>
      </c>
      <c r="D226" s="52">
        <v>0.45561109944644762</v>
      </c>
      <c r="E226" s="52">
        <v>0.18005411612457947</v>
      </c>
      <c r="F226" s="52">
        <v>9.8513924134091269E-2</v>
      </c>
      <c r="G226" s="52">
        <v>4.5969665726240658E-2</v>
      </c>
      <c r="H226" s="52">
        <v>0.11666971982265359</v>
      </c>
      <c r="I226" s="119">
        <v>277.73765858972257</v>
      </c>
    </row>
    <row r="227" spans="1:9" x14ac:dyDescent="0.3">
      <c r="A227" s="23">
        <v>209</v>
      </c>
      <c r="B227" s="52">
        <v>6.1885209636530027E-2</v>
      </c>
      <c r="C227" s="52">
        <v>0.29002508494846319</v>
      </c>
      <c r="D227" s="52">
        <v>0.67410350081454018</v>
      </c>
      <c r="E227" s="52">
        <v>0.18655975921905824</v>
      </c>
      <c r="F227" s="52">
        <v>9.6085558057339829E-2</v>
      </c>
      <c r="G227" s="52">
        <v>6.7771985086719819E-2</v>
      </c>
      <c r="H227" s="52">
        <v>0.10079503843347971</v>
      </c>
      <c r="I227" s="119">
        <v>597.41347866708611</v>
      </c>
    </row>
    <row r="228" spans="1:9" x14ac:dyDescent="0.3">
      <c r="A228" s="23">
        <v>210</v>
      </c>
      <c r="B228" s="52">
        <v>5.2611797641742293E-2</v>
      </c>
      <c r="C228" s="52">
        <v>0.296587112892095</v>
      </c>
      <c r="D228" s="52">
        <v>0.45909713665829383</v>
      </c>
      <c r="E228" s="52">
        <v>0.19418171806710172</v>
      </c>
      <c r="F228" s="52">
        <v>0.10450222698105917</v>
      </c>
      <c r="G228" s="52">
        <v>4.7328657514496289E-2</v>
      </c>
      <c r="H228" s="52">
        <v>0.10790485223570631</v>
      </c>
      <c r="I228" s="119">
        <v>201.22507855403796</v>
      </c>
    </row>
    <row r="229" spans="1:9" x14ac:dyDescent="0.3">
      <c r="A229" s="23">
        <v>211</v>
      </c>
      <c r="B229" s="52">
        <v>5.2738663421432797E-2</v>
      </c>
      <c r="C229" s="52">
        <v>0.29110084483570609</v>
      </c>
      <c r="D229" s="52">
        <v>0.48854631434418166</v>
      </c>
      <c r="E229" s="52">
        <v>0.19143461257059063</v>
      </c>
      <c r="F229" s="52">
        <v>9.7046998835592743E-2</v>
      </c>
      <c r="G229" s="52">
        <v>5.8110773682911412E-2</v>
      </c>
      <c r="H229" s="52">
        <v>0.10924720707206888</v>
      </c>
      <c r="I229" s="119">
        <v>369.10316446426231</v>
      </c>
    </row>
    <row r="230" spans="1:9" x14ac:dyDescent="0.3">
      <c r="A230" s="23">
        <v>212</v>
      </c>
      <c r="B230" s="52">
        <v>6.3754159299818258E-2</v>
      </c>
      <c r="C230" s="52">
        <v>0.28301378891524021</v>
      </c>
      <c r="D230" s="52">
        <v>0.43049412593339553</v>
      </c>
      <c r="E230" s="52">
        <v>0.17908274313008601</v>
      </c>
      <c r="F230" s="52">
        <v>0.10362255093071361</v>
      </c>
      <c r="G230" s="52">
        <v>3.8890391223874797E-2</v>
      </c>
      <c r="H230" s="52">
        <v>0.1030695711973126</v>
      </c>
      <c r="I230" s="119">
        <v>140.48108577102482</v>
      </c>
    </row>
    <row r="231" spans="1:9" x14ac:dyDescent="0.3">
      <c r="A231" s="23">
        <v>213</v>
      </c>
      <c r="B231" s="52">
        <v>5.9454314869249625E-2</v>
      </c>
      <c r="C231" s="52">
        <v>0.28703775839123313</v>
      </c>
      <c r="D231" s="52">
        <v>0.46732920358269586</v>
      </c>
      <c r="E231" s="52">
        <v>0.22129524023393773</v>
      </c>
      <c r="F231" s="52">
        <v>9.3377496821309122E-2</v>
      </c>
      <c r="G231" s="52">
        <v>4.9538290865015107E-2</v>
      </c>
      <c r="H231" s="52">
        <v>0.11094107550132379</v>
      </c>
      <c r="I231" s="119">
        <v>315.45699073106454</v>
      </c>
    </row>
    <row r="232" spans="1:9" x14ac:dyDescent="0.3">
      <c r="A232" s="23">
        <v>214</v>
      </c>
      <c r="B232" s="52">
        <v>5.7419321843653351E-2</v>
      </c>
      <c r="C232" s="52">
        <v>0.29658706974304588</v>
      </c>
      <c r="D232" s="52">
        <v>0.46725440575573229</v>
      </c>
      <c r="E232" s="52">
        <v>0.18404076891439572</v>
      </c>
      <c r="F232" s="52">
        <v>9.0984786398692299E-2</v>
      </c>
      <c r="G232" s="52">
        <v>7.5900018346035505E-2</v>
      </c>
      <c r="H232" s="52">
        <v>0.10271094205137971</v>
      </c>
      <c r="I232" s="119">
        <v>1333.4514216324565</v>
      </c>
    </row>
    <row r="233" spans="1:9" x14ac:dyDescent="0.3">
      <c r="A233" s="23">
        <v>215</v>
      </c>
      <c r="B233" s="52">
        <v>6.8275907810594935E-2</v>
      </c>
      <c r="C233" s="52">
        <v>0.27904452434104049</v>
      </c>
      <c r="D233" s="52">
        <v>0.45011223499900982</v>
      </c>
      <c r="E233" s="52">
        <v>0.20770107263364224</v>
      </c>
      <c r="F233" s="52">
        <v>0.10468201167366548</v>
      </c>
      <c r="G233" s="52">
        <v>4.1313228748526817E-2</v>
      </c>
      <c r="H233" s="52">
        <v>0.10437614919839419</v>
      </c>
      <c r="I233" s="119">
        <v>141.43082484957301</v>
      </c>
    </row>
    <row r="234" spans="1:9" x14ac:dyDescent="0.3">
      <c r="A234" s="23">
        <v>216</v>
      </c>
      <c r="B234" s="52">
        <v>8.5637335031793674E-2</v>
      </c>
      <c r="C234" s="52">
        <v>0.28941774315861674</v>
      </c>
      <c r="D234" s="52">
        <v>0.55537238359029306</v>
      </c>
      <c r="E234" s="52">
        <v>0.17450430119608695</v>
      </c>
      <c r="F234" s="52">
        <v>8.6361421603135632E-2</v>
      </c>
      <c r="G234" s="52">
        <v>4.628511782564327E-2</v>
      </c>
      <c r="H234" s="52">
        <v>0.11605246188533136</v>
      </c>
      <c r="I234" s="119">
        <v>450.91375553174191</v>
      </c>
    </row>
    <row r="235" spans="1:9" x14ac:dyDescent="0.3">
      <c r="A235" s="23">
        <v>217</v>
      </c>
      <c r="B235" s="52">
        <v>6.644036966546521E-2</v>
      </c>
      <c r="C235" s="52">
        <v>0.2818584633513434</v>
      </c>
      <c r="D235" s="52">
        <v>0.5619100214036713</v>
      </c>
      <c r="E235" s="52">
        <v>0.18662513391940819</v>
      </c>
      <c r="F235" s="52">
        <v>8.0904641789942555E-2</v>
      </c>
      <c r="G235" s="52">
        <v>3.8964007873277688E-2</v>
      </c>
      <c r="H235" s="52">
        <v>0.11754731620144057</v>
      </c>
      <c r="I235" s="119">
        <v>358.4344395933237</v>
      </c>
    </row>
    <row r="236" spans="1:9" x14ac:dyDescent="0.3">
      <c r="A236" s="23">
        <v>218</v>
      </c>
      <c r="B236" s="52">
        <v>6.023230207094548E-2</v>
      </c>
      <c r="C236" s="52">
        <v>0.27373749441013023</v>
      </c>
      <c r="D236" s="52">
        <v>0.49256048580307599</v>
      </c>
      <c r="E236" s="52">
        <v>0.20538777807360017</v>
      </c>
      <c r="F236" s="52">
        <v>9.0614393478002903E-2</v>
      </c>
      <c r="G236" s="52">
        <v>4.7171667446147515E-2</v>
      </c>
      <c r="H236" s="52">
        <v>0.11078941232455103</v>
      </c>
      <c r="I236" s="119">
        <v>276.93627328258862</v>
      </c>
    </row>
    <row r="237" spans="1:9" x14ac:dyDescent="0.3">
      <c r="A237" s="23">
        <v>219</v>
      </c>
      <c r="B237" s="52">
        <v>6.3691382202000421E-2</v>
      </c>
      <c r="C237" s="52">
        <v>0.2751548517015236</v>
      </c>
      <c r="D237" s="52">
        <v>0.47893464402677455</v>
      </c>
      <c r="E237" s="52">
        <v>0.19525826260697071</v>
      </c>
      <c r="F237" s="52">
        <v>9.4216551180081071E-2</v>
      </c>
      <c r="G237" s="52">
        <v>4.5145239048527547E-2</v>
      </c>
      <c r="H237" s="52">
        <v>8.4336174924000501E-2</v>
      </c>
      <c r="I237" s="119">
        <v>229.79063863942662</v>
      </c>
    </row>
    <row r="238" spans="1:9" x14ac:dyDescent="0.3">
      <c r="A238" s="23">
        <v>220</v>
      </c>
      <c r="B238" s="52">
        <v>6.2785987036584487E-2</v>
      </c>
      <c r="C238" s="52">
        <v>0.26508308419244819</v>
      </c>
      <c r="D238" s="52">
        <v>0.67186358096157761</v>
      </c>
      <c r="E238" s="52">
        <v>0.18223647044186531</v>
      </c>
      <c r="F238" s="52">
        <v>9.4764215366032106E-2</v>
      </c>
      <c r="G238" s="52">
        <v>7.2744213360537255E-2</v>
      </c>
      <c r="H238" s="52">
        <v>0.11056663312195947</v>
      </c>
      <c r="I238" s="119">
        <v>653.45567371589414</v>
      </c>
    </row>
    <row r="239" spans="1:9" x14ac:dyDescent="0.3">
      <c r="A239" s="23">
        <v>221</v>
      </c>
      <c r="B239" s="52">
        <v>5.5232911575858488E-2</v>
      </c>
      <c r="C239" s="52">
        <v>0.29247174759260725</v>
      </c>
      <c r="D239" s="52">
        <v>0.56668858246230369</v>
      </c>
      <c r="E239" s="52">
        <v>0.17974459348340019</v>
      </c>
      <c r="F239" s="52">
        <v>9.6655210416328019E-2</v>
      </c>
      <c r="G239" s="52">
        <v>4.4546270503212866E-2</v>
      </c>
      <c r="H239" s="52">
        <v>9.7455155039238822E-2</v>
      </c>
      <c r="I239" s="119">
        <v>242.42908270570919</v>
      </c>
    </row>
    <row r="240" spans="1:9" x14ac:dyDescent="0.3">
      <c r="A240" s="23">
        <v>222</v>
      </c>
      <c r="B240" s="52">
        <v>4.9112029204227511E-2</v>
      </c>
      <c r="C240" s="52">
        <v>0.2832116740138938</v>
      </c>
      <c r="D240" s="52">
        <v>0.45043262394144518</v>
      </c>
      <c r="E240" s="52">
        <v>0.19480464614587531</v>
      </c>
      <c r="F240" s="52">
        <v>8.390182099666614E-2</v>
      </c>
      <c r="G240" s="52">
        <v>5.5860266157653916E-2</v>
      </c>
      <c r="H240" s="52">
        <v>0.11034647648695772</v>
      </c>
      <c r="I240" s="119">
        <v>563.03579505052949</v>
      </c>
    </row>
    <row r="241" spans="1:9" x14ac:dyDescent="0.3">
      <c r="A241" s="23">
        <v>223</v>
      </c>
      <c r="B241" s="52">
        <v>6.8582371059230041E-2</v>
      </c>
      <c r="C241" s="52">
        <v>0.31359570198454523</v>
      </c>
      <c r="D241" s="52">
        <v>0.61279242138580003</v>
      </c>
      <c r="E241" s="52">
        <v>0.18756443411338206</v>
      </c>
      <c r="F241" s="52">
        <v>0.10468665487194462</v>
      </c>
      <c r="G241" s="52">
        <v>7.6227641806794685E-2</v>
      </c>
      <c r="H241" s="52">
        <v>9.0302180963917358E-2</v>
      </c>
      <c r="I241" s="119">
        <v>716.78542467649265</v>
      </c>
    </row>
    <row r="242" spans="1:9" x14ac:dyDescent="0.3">
      <c r="A242" s="23">
        <v>224</v>
      </c>
      <c r="B242" s="52">
        <v>5.1970857697063215E-2</v>
      </c>
      <c r="C242" s="52">
        <v>0.2954032934162909</v>
      </c>
      <c r="D242" s="52">
        <v>0.47862376047384975</v>
      </c>
      <c r="E242" s="52">
        <v>0.18110839046315463</v>
      </c>
      <c r="F242" s="52">
        <v>0.10092215245418135</v>
      </c>
      <c r="G242" s="52">
        <v>5.4070811883172712E-2</v>
      </c>
      <c r="H242" s="52">
        <v>0.11381262075568643</v>
      </c>
      <c r="I242" s="119">
        <v>283.86403905002743</v>
      </c>
    </row>
    <row r="243" spans="1:9" x14ac:dyDescent="0.3">
      <c r="A243" s="23">
        <v>225</v>
      </c>
      <c r="B243" s="52">
        <v>6.054355308200942E-2</v>
      </c>
      <c r="C243" s="52">
        <v>0.2974191310100775</v>
      </c>
      <c r="D243" s="52">
        <v>0.71461489352685525</v>
      </c>
      <c r="E243" s="52">
        <v>0.18885712115380751</v>
      </c>
      <c r="F243" s="52">
        <v>9.54401411519262E-2</v>
      </c>
      <c r="G243" s="52">
        <v>5.2807426707625914E-2</v>
      </c>
      <c r="H243" s="52">
        <v>9.6101734695476518E-2</v>
      </c>
      <c r="I243" s="119">
        <v>366.5332213427161</v>
      </c>
    </row>
    <row r="244" spans="1:9" x14ac:dyDescent="0.3">
      <c r="A244" s="23">
        <v>226</v>
      </c>
      <c r="B244" s="52">
        <v>6.9884354356692491E-2</v>
      </c>
      <c r="C244" s="52">
        <v>0.29006033499369377</v>
      </c>
      <c r="D244" s="52">
        <v>0.4904083489204667</v>
      </c>
      <c r="E244" s="52">
        <v>0.19541657917225275</v>
      </c>
      <c r="F244" s="52">
        <v>0.10153396876352525</v>
      </c>
      <c r="G244" s="52">
        <v>7.1552490526265722E-2</v>
      </c>
      <c r="H244" s="52">
        <v>9.2081411923443129E-2</v>
      </c>
      <c r="I244" s="119">
        <v>564.12970646001725</v>
      </c>
    </row>
    <row r="245" spans="1:9" x14ac:dyDescent="0.3">
      <c r="A245" s="23">
        <v>227</v>
      </c>
      <c r="B245" s="52">
        <v>5.9200753188407881E-2</v>
      </c>
      <c r="C245" s="52">
        <v>0.29736228788881525</v>
      </c>
      <c r="D245" s="52">
        <v>0.449766129805585</v>
      </c>
      <c r="E245" s="52">
        <v>0.19033974823234023</v>
      </c>
      <c r="F245" s="52">
        <v>9.1912832435011346E-2</v>
      </c>
      <c r="G245" s="52">
        <v>5.4628889830812211E-2</v>
      </c>
      <c r="H245" s="52">
        <v>9.9899763529110619E-2</v>
      </c>
      <c r="I245" s="119">
        <v>447.45836678154092</v>
      </c>
    </row>
    <row r="246" spans="1:9" x14ac:dyDescent="0.3">
      <c r="A246" s="23">
        <v>228</v>
      </c>
      <c r="B246" s="52">
        <v>6.2447344809483996E-2</v>
      </c>
      <c r="C246" s="52">
        <v>0.29002258104798612</v>
      </c>
      <c r="D246" s="52">
        <v>0.61718041968354376</v>
      </c>
      <c r="E246" s="52">
        <v>0.16773033257171188</v>
      </c>
      <c r="F246" s="52">
        <v>9.5165593526234535E-2</v>
      </c>
      <c r="G246" s="52">
        <v>5.8732568128644191E-2</v>
      </c>
      <c r="H246" s="52">
        <v>0.11102501015466706</v>
      </c>
      <c r="I246" s="119">
        <v>430.40367841694876</v>
      </c>
    </row>
    <row r="247" spans="1:9" x14ac:dyDescent="0.3">
      <c r="A247" s="23">
        <v>229</v>
      </c>
      <c r="B247" s="52">
        <v>5.4015708089343292E-2</v>
      </c>
      <c r="C247" s="52">
        <v>0.24143185673817749</v>
      </c>
      <c r="D247" s="52">
        <v>0.49007724996583252</v>
      </c>
      <c r="E247" s="52">
        <v>0.19649111559550927</v>
      </c>
      <c r="F247" s="52">
        <v>0.10030739916556522</v>
      </c>
      <c r="G247" s="52">
        <v>3.2976740902575914E-2</v>
      </c>
      <c r="H247" s="52">
        <v>0.11248822350044156</v>
      </c>
      <c r="I247" s="119">
        <v>16.626758307476184</v>
      </c>
    </row>
    <row r="248" spans="1:9" x14ac:dyDescent="0.3">
      <c r="A248" s="23">
        <v>230</v>
      </c>
      <c r="B248" s="52">
        <v>5.623726247900903E-2</v>
      </c>
      <c r="C248" s="52">
        <v>0.29566999245566544</v>
      </c>
      <c r="D248" s="52">
        <v>0.57376582989146763</v>
      </c>
      <c r="E248" s="52">
        <v>0.18527858988097334</v>
      </c>
      <c r="F248" s="52">
        <v>8.0177794320538801E-2</v>
      </c>
      <c r="G248" s="52">
        <v>2.9305904316734334E-2</v>
      </c>
      <c r="H248" s="52">
        <v>9.5401652609321319E-2</v>
      </c>
      <c r="I248" s="119">
        <v>294.641780241719</v>
      </c>
    </row>
    <row r="249" spans="1:9" x14ac:dyDescent="0.3">
      <c r="A249" s="23">
        <v>231</v>
      </c>
      <c r="B249" s="52">
        <v>6.4367140694115907E-2</v>
      </c>
      <c r="C249" s="52">
        <v>0.31335185424357592</v>
      </c>
      <c r="D249" s="52">
        <v>0.50383278518163777</v>
      </c>
      <c r="E249" s="52">
        <v>0.1945036690161204</v>
      </c>
      <c r="F249" s="52">
        <v>9.339025385718136E-2</v>
      </c>
      <c r="G249" s="52">
        <v>4.3353957791457641E-2</v>
      </c>
      <c r="H249" s="52">
        <v>0.12179363344136887</v>
      </c>
      <c r="I249" s="119">
        <v>353.28298421634514</v>
      </c>
    </row>
    <row r="250" spans="1:9" x14ac:dyDescent="0.3">
      <c r="A250" s="23">
        <v>232</v>
      </c>
      <c r="B250" s="52">
        <v>6.4054302475857139E-2</v>
      </c>
      <c r="C250" s="52">
        <v>0.2720249448964806</v>
      </c>
      <c r="D250" s="52">
        <v>0.76830687937167674</v>
      </c>
      <c r="E250" s="52">
        <v>0.1924432480043648</v>
      </c>
      <c r="F250" s="52">
        <v>9.7905968005450678E-2</v>
      </c>
      <c r="G250" s="52">
        <v>4.8297608238821392E-2</v>
      </c>
      <c r="H250" s="52">
        <v>0.10001813429438267</v>
      </c>
      <c r="I250" s="119">
        <v>209.55241081633568</v>
      </c>
    </row>
    <row r="251" spans="1:9" x14ac:dyDescent="0.3">
      <c r="A251" s="23">
        <v>233</v>
      </c>
      <c r="B251" s="52">
        <v>5.9657224906610143E-2</v>
      </c>
      <c r="C251" s="52">
        <v>0.29954602245580997</v>
      </c>
      <c r="D251" s="52">
        <v>0.52686021121235482</v>
      </c>
      <c r="E251" s="52">
        <v>0.20772564935605364</v>
      </c>
      <c r="F251" s="52">
        <v>9.7551975446187503E-2</v>
      </c>
      <c r="G251" s="52">
        <v>5.6137314625809766E-2</v>
      </c>
      <c r="H251" s="52">
        <v>9.2867966564785256E-2</v>
      </c>
      <c r="I251" s="119">
        <v>383.56655964083086</v>
      </c>
    </row>
    <row r="252" spans="1:9" x14ac:dyDescent="0.3">
      <c r="A252" s="23">
        <v>234</v>
      </c>
      <c r="B252" s="52">
        <v>8.68554360542758E-2</v>
      </c>
      <c r="C252" s="52">
        <v>0.27437114922538752</v>
      </c>
      <c r="D252" s="52">
        <v>0.5308632331300176</v>
      </c>
      <c r="E252" s="52">
        <v>0.19040469487796585</v>
      </c>
      <c r="F252" s="52">
        <v>0.10457435456456093</v>
      </c>
      <c r="G252" s="52">
        <v>5.1878586284343567E-2</v>
      </c>
      <c r="H252" s="52">
        <v>0.10496633968770427</v>
      </c>
      <c r="I252" s="119">
        <v>220.95601724741744</v>
      </c>
    </row>
    <row r="253" spans="1:9" x14ac:dyDescent="0.3">
      <c r="A253" s="23">
        <v>235</v>
      </c>
      <c r="B253" s="52">
        <v>6.3284704681346282E-2</v>
      </c>
      <c r="C253" s="52">
        <v>0.28876812964809939</v>
      </c>
      <c r="D253" s="52">
        <v>0.54623589268104222</v>
      </c>
      <c r="E253" s="52">
        <v>0.18839783352226938</v>
      </c>
      <c r="F253" s="52">
        <v>8.8463561295274246E-2</v>
      </c>
      <c r="G253" s="52">
        <v>4.8305115313641948E-2</v>
      </c>
      <c r="H253" s="52">
        <v>0.11241953947713021</v>
      </c>
      <c r="I253" s="119">
        <v>386.54720593909713</v>
      </c>
    </row>
    <row r="254" spans="1:9" x14ac:dyDescent="0.3">
      <c r="A254" s="23">
        <v>236</v>
      </c>
      <c r="B254" s="52">
        <v>6.4606085429534693E-2</v>
      </c>
      <c r="C254" s="52">
        <v>0.26932613415654838</v>
      </c>
      <c r="D254" s="52">
        <v>0.45387611084643198</v>
      </c>
      <c r="E254" s="52">
        <v>0.18516720337957404</v>
      </c>
      <c r="F254" s="52">
        <v>9.269378157158821E-2</v>
      </c>
      <c r="G254" s="52">
        <v>6.4497062780522946E-2</v>
      </c>
      <c r="H254" s="52">
        <v>0.11711643152731216</v>
      </c>
      <c r="I254" s="119">
        <v>504.4139551116848</v>
      </c>
    </row>
    <row r="255" spans="1:9" x14ac:dyDescent="0.3">
      <c r="A255" s="23">
        <v>237</v>
      </c>
      <c r="B255" s="52">
        <v>7.0953381145987648E-2</v>
      </c>
      <c r="C255" s="52">
        <v>0.27601578356256634</v>
      </c>
      <c r="D255" s="52">
        <v>0.4902740116793966</v>
      </c>
      <c r="E255" s="52">
        <v>0.16318314409795198</v>
      </c>
      <c r="F255" s="52">
        <v>0.10332161556881514</v>
      </c>
      <c r="G255" s="52">
        <v>5.8981444538627734E-2</v>
      </c>
      <c r="H255" s="52">
        <v>0.11530640813671425</v>
      </c>
      <c r="I255" s="119">
        <v>273.59124405222514</v>
      </c>
    </row>
    <row r="256" spans="1:9" x14ac:dyDescent="0.3">
      <c r="A256" s="23">
        <v>238</v>
      </c>
      <c r="B256" s="52">
        <v>6.5139902474317821E-2</v>
      </c>
      <c r="C256" s="52">
        <v>0.26117672600594627</v>
      </c>
      <c r="D256" s="52">
        <v>0.62356557055804462</v>
      </c>
      <c r="E256" s="52">
        <v>0.1578801371257085</v>
      </c>
      <c r="F256" s="52">
        <v>9.1052556950731944E-2</v>
      </c>
      <c r="G256" s="52">
        <v>5.5946891526876208E-2</v>
      </c>
      <c r="H256" s="52">
        <v>9.7405845769714672E-2</v>
      </c>
      <c r="I256" s="119">
        <v>337.12116983910909</v>
      </c>
    </row>
    <row r="257" spans="1:9" x14ac:dyDescent="0.3">
      <c r="A257" s="23">
        <v>239</v>
      </c>
      <c r="B257" s="52">
        <v>7.012007970572709E-2</v>
      </c>
      <c r="C257" s="52">
        <v>0.29141747954739899</v>
      </c>
      <c r="D257" s="52">
        <v>0.51278241818576653</v>
      </c>
      <c r="E257" s="52">
        <v>0.18151313170074862</v>
      </c>
      <c r="F257" s="52">
        <v>0.10457601528638463</v>
      </c>
      <c r="G257" s="52">
        <v>3.1722439397902369E-2</v>
      </c>
      <c r="H257" s="52">
        <v>0.12324072334820857</v>
      </c>
      <c r="I257" s="119">
        <v>133.02020371871666</v>
      </c>
    </row>
    <row r="258" spans="1:9" x14ac:dyDescent="0.3">
      <c r="A258" s="23">
        <v>240</v>
      </c>
      <c r="B258" s="52">
        <v>7.4080147472549318E-2</v>
      </c>
      <c r="C258" s="52">
        <v>0.29401534226949883</v>
      </c>
      <c r="D258" s="52">
        <v>0.64192848234174849</v>
      </c>
      <c r="E258" s="52">
        <v>0.18984084638526946</v>
      </c>
      <c r="F258" s="52">
        <v>0.10742034578546866</v>
      </c>
      <c r="G258" s="52">
        <v>5.0010243402754076E-2</v>
      </c>
      <c r="H258" s="52">
        <v>0.1066428863992014</v>
      </c>
      <c r="I258" s="119">
        <v>223.89828181520545</v>
      </c>
    </row>
    <row r="259" spans="1:9" x14ac:dyDescent="0.3">
      <c r="A259" s="23">
        <v>241</v>
      </c>
      <c r="B259" s="52">
        <v>6.8987424204823622E-2</v>
      </c>
      <c r="C259" s="52">
        <v>0.2965216739111266</v>
      </c>
      <c r="D259" s="52">
        <v>0.53480146748037471</v>
      </c>
      <c r="E259" s="52">
        <v>0.19929714957866437</v>
      </c>
      <c r="F259" s="52">
        <v>8.6914184214990614E-2</v>
      </c>
      <c r="G259" s="52">
        <v>4.5186109190467012E-2</v>
      </c>
      <c r="H259" s="52">
        <v>0.10984338093701053</v>
      </c>
      <c r="I259" s="119">
        <v>414.17105776609441</v>
      </c>
    </row>
    <row r="260" spans="1:9" x14ac:dyDescent="0.3">
      <c r="A260" s="23">
        <v>242</v>
      </c>
      <c r="B260" s="52">
        <v>6.2035759781121816E-2</v>
      </c>
      <c r="C260" s="52">
        <v>0.31365092074190554</v>
      </c>
      <c r="D260" s="52">
        <v>0.51333985690384321</v>
      </c>
      <c r="E260" s="52">
        <v>0.18563957179211216</v>
      </c>
      <c r="F260" s="52">
        <v>9.5010241903311463E-2</v>
      </c>
      <c r="G260" s="52">
        <v>4.1171471774453357E-2</v>
      </c>
      <c r="H260" s="52">
        <v>0.10389166660270854</v>
      </c>
      <c r="I260" s="119">
        <v>310.31914601062027</v>
      </c>
    </row>
    <row r="261" spans="1:9" x14ac:dyDescent="0.3">
      <c r="A261" s="23">
        <v>243</v>
      </c>
      <c r="B261" s="52">
        <v>5.9587939656445779E-2</v>
      </c>
      <c r="C261" s="52">
        <v>0.29986759574946797</v>
      </c>
      <c r="D261" s="52">
        <v>0.5474587473282998</v>
      </c>
      <c r="E261" s="52">
        <v>0.18129696059543293</v>
      </c>
      <c r="F261" s="52">
        <v>7.9913210025378725E-2</v>
      </c>
      <c r="G261" s="52">
        <v>4.8566276594707192E-2</v>
      </c>
      <c r="H261" s="52">
        <v>0.10826440165144496</v>
      </c>
      <c r="I261" s="119">
        <v>612.82109696722966</v>
      </c>
    </row>
    <row r="262" spans="1:9" x14ac:dyDescent="0.3">
      <c r="A262" s="23">
        <v>244</v>
      </c>
      <c r="B262" s="52">
        <v>6.1960641592830684E-2</v>
      </c>
      <c r="C262" s="52">
        <v>0.28205005072886741</v>
      </c>
      <c r="D262" s="52">
        <v>0.45967556417763972</v>
      </c>
      <c r="E262" s="52">
        <v>0.18139780100300784</v>
      </c>
      <c r="F262" s="52">
        <v>9.8046237259846791E-2</v>
      </c>
      <c r="G262" s="52">
        <v>3.9150302841283097E-2</v>
      </c>
      <c r="H262" s="52">
        <v>0.11517754463018315</v>
      </c>
      <c r="I262" s="119">
        <v>174.09530316682688</v>
      </c>
    </row>
    <row r="263" spans="1:9" x14ac:dyDescent="0.3">
      <c r="A263" s="23">
        <v>245</v>
      </c>
      <c r="B263" s="52">
        <v>6.3217470228723552E-2</v>
      </c>
      <c r="C263" s="52">
        <v>0.31748334403035333</v>
      </c>
      <c r="D263" s="52">
        <v>0.49293975299421655</v>
      </c>
      <c r="E263" s="52">
        <v>0.20919432195132553</v>
      </c>
      <c r="F263" s="52">
        <v>0.10036658690412489</v>
      </c>
      <c r="G263" s="52">
        <v>5.9922617768024669E-2</v>
      </c>
      <c r="H263" s="52">
        <v>8.7660002311844926E-2</v>
      </c>
      <c r="I263" s="119">
        <v>469.49522034599158</v>
      </c>
    </row>
    <row r="264" spans="1:9" x14ac:dyDescent="0.3">
      <c r="A264" s="23">
        <v>246</v>
      </c>
      <c r="B264" s="52">
        <v>6.0089415040955316E-2</v>
      </c>
      <c r="C264" s="52">
        <v>0.28620050233582583</v>
      </c>
      <c r="D264" s="52">
        <v>0.51086810769700675</v>
      </c>
      <c r="E264" s="52">
        <v>0.18454658395792806</v>
      </c>
      <c r="F264" s="52">
        <v>0.10294417340481923</v>
      </c>
      <c r="G264" s="52">
        <v>6.1591630143035113E-2</v>
      </c>
      <c r="H264" s="52">
        <v>9.8249280525068261E-2</v>
      </c>
      <c r="I264" s="119">
        <v>323.44271787327517</v>
      </c>
    </row>
    <row r="265" spans="1:9" x14ac:dyDescent="0.3">
      <c r="A265" s="23">
        <v>247</v>
      </c>
      <c r="B265" s="52">
        <v>5.9883615153888174E-2</v>
      </c>
      <c r="C265" s="52">
        <v>0.27876464126194084</v>
      </c>
      <c r="D265" s="52">
        <v>0.46468171752924237</v>
      </c>
      <c r="E265" s="52">
        <v>0.20108256379893436</v>
      </c>
      <c r="F265" s="52">
        <v>8.8276529917358015E-2</v>
      </c>
      <c r="G265" s="52">
        <v>3.9207413962853738E-2</v>
      </c>
      <c r="H265" s="52">
        <v>0.11344496696361131</v>
      </c>
      <c r="I265" s="119">
        <v>245.434082443308</v>
      </c>
    </row>
    <row r="266" spans="1:9" x14ac:dyDescent="0.3">
      <c r="A266" s="23">
        <v>248</v>
      </c>
      <c r="B266" s="52">
        <v>4.5816644717606242E-2</v>
      </c>
      <c r="C266" s="52">
        <v>0.30344004067826036</v>
      </c>
      <c r="D266" s="52">
        <v>0.51196351092002401</v>
      </c>
      <c r="E266" s="52">
        <v>0.20615485427293889</v>
      </c>
      <c r="F266" s="52">
        <v>0.10434827751774232</v>
      </c>
      <c r="G266" s="52">
        <v>5.054351784957499E-2</v>
      </c>
      <c r="H266" s="52">
        <v>0.11601905736812444</v>
      </c>
      <c r="I266" s="119">
        <v>232.11559498682109</v>
      </c>
    </row>
    <row r="267" spans="1:9" x14ac:dyDescent="0.3">
      <c r="A267" s="23">
        <v>249</v>
      </c>
      <c r="B267" s="52">
        <v>6.3927708918687487E-2</v>
      </c>
      <c r="C267" s="52">
        <v>0.30916516670173627</v>
      </c>
      <c r="D267" s="52">
        <v>0.60179567740468598</v>
      </c>
      <c r="E267" s="52">
        <v>0.1776928193204767</v>
      </c>
      <c r="F267" s="52">
        <v>9.4273458868383286E-2</v>
      </c>
      <c r="G267" s="52">
        <v>6.0103994992611709E-2</v>
      </c>
      <c r="H267" s="52">
        <v>0.11045888171074372</v>
      </c>
      <c r="I267" s="119">
        <v>565.51684981892322</v>
      </c>
    </row>
    <row r="268" spans="1:9" x14ac:dyDescent="0.3">
      <c r="A268" s="23">
        <v>250</v>
      </c>
      <c r="B268" s="52">
        <v>5.6087183769076884E-2</v>
      </c>
      <c r="C268" s="52">
        <v>0.29095852043882076</v>
      </c>
      <c r="D268" s="52">
        <v>0.51805569990715861</v>
      </c>
      <c r="E268" s="52">
        <v>0.20562751610079688</v>
      </c>
      <c r="F268" s="52">
        <v>9.9559702447102424E-2</v>
      </c>
      <c r="G268" s="52">
        <v>5.4255484727298506E-2</v>
      </c>
      <c r="H268" s="52">
        <v>0.12736582270271665</v>
      </c>
      <c r="I268" s="119">
        <v>295.05010872689951</v>
      </c>
    </row>
    <row r="269" spans="1:9" x14ac:dyDescent="0.3">
      <c r="A269" s="23">
        <v>251</v>
      </c>
      <c r="B269" s="52">
        <v>7.0279438539999961E-2</v>
      </c>
      <c r="C269" s="52">
        <v>0.28398458196831861</v>
      </c>
      <c r="D269" s="52">
        <v>0.43316907853858111</v>
      </c>
      <c r="E269" s="52">
        <v>0.19559192399946237</v>
      </c>
      <c r="F269" s="52">
        <v>0.1088867727838284</v>
      </c>
      <c r="G269" s="52">
        <v>4.9397572698049043E-2</v>
      </c>
      <c r="H269" s="52">
        <v>0.10171170037109324</v>
      </c>
      <c r="I269" s="119">
        <v>173.20212505234147</v>
      </c>
    </row>
    <row r="270" spans="1:9" x14ac:dyDescent="0.3">
      <c r="A270" s="23">
        <v>252</v>
      </c>
      <c r="B270" s="52">
        <v>6.9403815900582561E-2</v>
      </c>
      <c r="C270" s="52">
        <v>0.29835845929979726</v>
      </c>
      <c r="D270" s="52">
        <v>0.4823252360675348</v>
      </c>
      <c r="E270" s="52">
        <v>0.19230463051755758</v>
      </c>
      <c r="F270" s="52">
        <v>9.5113111139712936E-2</v>
      </c>
      <c r="G270" s="52">
        <v>5.1777951685442768E-2</v>
      </c>
      <c r="H270" s="52">
        <v>0.11216481724101737</v>
      </c>
      <c r="I270" s="119">
        <v>382.77666596415054</v>
      </c>
    </row>
    <row r="271" spans="1:9" x14ac:dyDescent="0.3">
      <c r="A271" s="23">
        <v>253</v>
      </c>
      <c r="B271" s="52">
        <v>5.4366936246983043E-2</v>
      </c>
      <c r="C271" s="52">
        <v>0.30518514927977697</v>
      </c>
      <c r="D271" s="52">
        <v>0.51879087430665616</v>
      </c>
      <c r="E271" s="52">
        <v>0.16693026952162546</v>
      </c>
      <c r="F271" s="52">
        <v>0.10178731804253538</v>
      </c>
      <c r="G271" s="52">
        <v>5.4379310006431772E-2</v>
      </c>
      <c r="H271" s="52">
        <v>0.1121276209050118</v>
      </c>
      <c r="I271" s="119">
        <v>313.8494819826148</v>
      </c>
    </row>
    <row r="272" spans="1:9" x14ac:dyDescent="0.3">
      <c r="A272" s="23">
        <v>254</v>
      </c>
      <c r="B272" s="52">
        <v>8.2322174271549475E-2</v>
      </c>
      <c r="C272" s="52">
        <v>0.29042432360001802</v>
      </c>
      <c r="D272" s="52">
        <v>0.70968542378257582</v>
      </c>
      <c r="E272" s="52">
        <v>0.19132959485232831</v>
      </c>
      <c r="F272" s="52">
        <v>8.6328267962804475E-2</v>
      </c>
      <c r="G272" s="52">
        <v>4.6026190185456631E-2</v>
      </c>
      <c r="H272" s="52">
        <v>0.11325411469354435</v>
      </c>
      <c r="I272" s="119">
        <v>443.60389749367175</v>
      </c>
    </row>
    <row r="273" spans="1:9" x14ac:dyDescent="0.3">
      <c r="A273" s="23">
        <v>255</v>
      </c>
      <c r="B273" s="52">
        <v>6.2166780218068818E-2</v>
      </c>
      <c r="C273" s="52">
        <v>0.2796476206799573</v>
      </c>
      <c r="D273" s="52">
        <v>0.61469641435431743</v>
      </c>
      <c r="E273" s="52">
        <v>0.21439432953722168</v>
      </c>
      <c r="F273" s="52">
        <v>8.726105614104275E-2</v>
      </c>
      <c r="G273" s="52">
        <v>5.1442436873004177E-2</v>
      </c>
      <c r="H273" s="52">
        <v>0.10719080375850018</v>
      </c>
      <c r="I273" s="119">
        <v>412.20738139070676</v>
      </c>
    </row>
    <row r="274" spans="1:9" x14ac:dyDescent="0.3">
      <c r="A274" s="23">
        <v>256</v>
      </c>
      <c r="B274" s="52">
        <v>5.1720165743529736E-2</v>
      </c>
      <c r="C274" s="52">
        <v>0.29285255743684285</v>
      </c>
      <c r="D274" s="52">
        <v>0.47297311750162008</v>
      </c>
      <c r="E274" s="52">
        <v>0.20025530800178648</v>
      </c>
      <c r="F274" s="52">
        <v>8.9059761181649419E-2</v>
      </c>
      <c r="G274" s="52">
        <v>5.4625160566124514E-2</v>
      </c>
      <c r="H274" s="52">
        <v>9.2384282149597069E-2</v>
      </c>
      <c r="I274" s="119">
        <v>464.10891037444247</v>
      </c>
    </row>
    <row r="275" spans="1:9" x14ac:dyDescent="0.3">
      <c r="A275" s="23">
        <v>257</v>
      </c>
      <c r="B275" s="52">
        <v>5.3417494055313215E-2</v>
      </c>
      <c r="C275" s="52">
        <v>0.24772364070984246</v>
      </c>
      <c r="D275" s="52">
        <v>0.43353906059981695</v>
      </c>
      <c r="E275" s="52">
        <v>0.17801699118637254</v>
      </c>
      <c r="F275" s="52">
        <v>8.3742237442769096E-2</v>
      </c>
      <c r="G275" s="52">
        <v>5.727577140446434E-2</v>
      </c>
      <c r="H275" s="52">
        <v>9.0524812326705978E-2</v>
      </c>
      <c r="I275" s="119">
        <v>415.85533075943965</v>
      </c>
    </row>
    <row r="276" spans="1:9" x14ac:dyDescent="0.3">
      <c r="A276" s="23">
        <v>258</v>
      </c>
      <c r="B276" s="52">
        <v>6.0180439017901863E-2</v>
      </c>
      <c r="C276" s="52">
        <v>0.30300558241138725</v>
      </c>
      <c r="D276" s="52">
        <v>0.66986184860827591</v>
      </c>
      <c r="E276" s="52">
        <v>0.15632193293423755</v>
      </c>
      <c r="F276" s="52">
        <v>0.10309415282021181</v>
      </c>
      <c r="G276" s="52">
        <v>6.7707995339823898E-2</v>
      </c>
      <c r="H276" s="52">
        <v>0.10537032613350754</v>
      </c>
      <c r="I276" s="119">
        <v>479.2348531181442</v>
      </c>
    </row>
    <row r="277" spans="1:9" x14ac:dyDescent="0.3">
      <c r="A277" s="23">
        <v>259</v>
      </c>
      <c r="B277" s="52">
        <v>6.4452515254754886E-2</v>
      </c>
      <c r="C277" s="52">
        <v>0.27165057331397435</v>
      </c>
      <c r="D277" s="52">
        <v>0.7365407359386289</v>
      </c>
      <c r="E277" s="52">
        <v>0.19430880089021826</v>
      </c>
      <c r="F277" s="52">
        <v>0.10348515799257348</v>
      </c>
      <c r="G277" s="52">
        <v>3.9490105573783359E-2</v>
      </c>
      <c r="H277" s="52">
        <v>0.12015775131256806</v>
      </c>
      <c r="I277" s="119">
        <v>114.96032367572961</v>
      </c>
    </row>
    <row r="278" spans="1:9" x14ac:dyDescent="0.3">
      <c r="A278" s="23">
        <v>260</v>
      </c>
      <c r="B278" s="52">
        <v>5.5265518876803657E-2</v>
      </c>
      <c r="C278" s="52">
        <v>0.30027800466544902</v>
      </c>
      <c r="D278" s="52">
        <v>0.55980874982036</v>
      </c>
      <c r="E278" s="52">
        <v>0.19801655718868502</v>
      </c>
      <c r="F278" s="52">
        <v>0.10097745158585242</v>
      </c>
      <c r="G278" s="52">
        <v>5.3717893017497298E-2</v>
      </c>
      <c r="H278" s="52">
        <v>7.6832066425623374E-2</v>
      </c>
      <c r="I278" s="119">
        <v>302.57827679451327</v>
      </c>
    </row>
    <row r="279" spans="1:9" x14ac:dyDescent="0.3">
      <c r="A279" s="23">
        <v>261</v>
      </c>
      <c r="B279" s="52">
        <v>6.083315254451882E-2</v>
      </c>
      <c r="C279" s="52">
        <v>0.27899785778623865</v>
      </c>
      <c r="D279" s="52">
        <v>0.67592020390165874</v>
      </c>
      <c r="E279" s="52">
        <v>0.2042941813218816</v>
      </c>
      <c r="F279" s="52">
        <v>0.10119721363777154</v>
      </c>
      <c r="G279" s="52">
        <v>6.8075847423650818E-2</v>
      </c>
      <c r="H279" s="52">
        <v>0.10362588859315411</v>
      </c>
      <c r="I279" s="119">
        <v>419.52475186473561</v>
      </c>
    </row>
    <row r="280" spans="1:9" x14ac:dyDescent="0.3">
      <c r="A280" s="23">
        <v>262</v>
      </c>
      <c r="B280" s="52">
        <v>5.6265604023287695E-2</v>
      </c>
      <c r="C280" s="52">
        <v>0.30071466219511239</v>
      </c>
      <c r="D280" s="52">
        <v>0.48645071444771082</v>
      </c>
      <c r="E280" s="52">
        <v>0.15453357359488296</v>
      </c>
      <c r="F280" s="52">
        <v>9.822717793322619E-2</v>
      </c>
      <c r="G280" s="52">
        <v>5.2172106616551056E-2</v>
      </c>
      <c r="H280" s="52">
        <v>0.1174643752542804</v>
      </c>
      <c r="I280" s="119">
        <v>323.80980576128172</v>
      </c>
    </row>
    <row r="281" spans="1:9" x14ac:dyDescent="0.3">
      <c r="A281" s="23">
        <v>263</v>
      </c>
      <c r="B281" s="52">
        <v>6.8478086627729015E-2</v>
      </c>
      <c r="C281" s="52">
        <v>0.28347487360528661</v>
      </c>
      <c r="D281" s="52">
        <v>0.52786521454199831</v>
      </c>
      <c r="E281" s="52">
        <v>0.19841043165372332</v>
      </c>
      <c r="F281" s="52">
        <v>7.8607923850088399E-2</v>
      </c>
      <c r="G281" s="52">
        <v>5.9376740286159531E-2</v>
      </c>
      <c r="H281" s="52">
        <v>0.10821998773398872</v>
      </c>
      <c r="I281" s="119">
        <v>1015.1786274979936</v>
      </c>
    </row>
    <row r="282" spans="1:9" x14ac:dyDescent="0.3">
      <c r="A282" s="23">
        <v>264</v>
      </c>
      <c r="B282" s="52">
        <v>8.3739575484561374E-2</v>
      </c>
      <c r="C282" s="52">
        <v>0.29633011904435164</v>
      </c>
      <c r="D282" s="52">
        <v>0.57727646936433363</v>
      </c>
      <c r="E282" s="52">
        <v>0.18365101452168148</v>
      </c>
      <c r="F282" s="52">
        <v>9.6596719795790181E-2</v>
      </c>
      <c r="G282" s="52">
        <v>5.7641165104151834E-2</v>
      </c>
      <c r="H282" s="52">
        <v>0.10234055545131979</v>
      </c>
      <c r="I282" s="119">
        <v>469.43462543078795</v>
      </c>
    </row>
    <row r="283" spans="1:9" x14ac:dyDescent="0.3">
      <c r="A283" s="23">
        <v>265</v>
      </c>
      <c r="B283" s="52">
        <v>6.7558105907049748E-2</v>
      </c>
      <c r="C283" s="52">
        <v>0.28034746803791682</v>
      </c>
      <c r="D283" s="52">
        <v>0.59867625099235544</v>
      </c>
      <c r="E283" s="52">
        <v>0.20706243891787976</v>
      </c>
      <c r="F283" s="52">
        <v>7.9585388521930145E-2</v>
      </c>
      <c r="G283" s="52">
        <v>4.5365793367299165E-2</v>
      </c>
      <c r="H283" s="52">
        <v>0.10169958132733838</v>
      </c>
      <c r="I283" s="119">
        <v>476.43797248134547</v>
      </c>
    </row>
    <row r="284" spans="1:9" x14ac:dyDescent="0.3">
      <c r="A284" s="23">
        <v>266</v>
      </c>
      <c r="B284" s="52">
        <v>7.2409038868588294E-2</v>
      </c>
      <c r="C284" s="52">
        <v>0.27341691397225409</v>
      </c>
      <c r="D284" s="52">
        <v>0.63424420174634233</v>
      </c>
      <c r="E284" s="52">
        <v>0.20034295634046151</v>
      </c>
      <c r="F284" s="52">
        <v>9.4925114061973556E-2</v>
      </c>
      <c r="G284" s="52">
        <v>4.6336731264453507E-2</v>
      </c>
      <c r="H284" s="52">
        <v>8.8988730797650462E-2</v>
      </c>
      <c r="I284" s="119">
        <v>241.86892169365464</v>
      </c>
    </row>
    <row r="285" spans="1:9" x14ac:dyDescent="0.3">
      <c r="A285" s="23">
        <v>267</v>
      </c>
      <c r="B285" s="52">
        <v>5.6657922324713707E-2</v>
      </c>
      <c r="C285" s="52">
        <v>0.28586913710790918</v>
      </c>
      <c r="D285" s="52">
        <v>0.45591215992390138</v>
      </c>
      <c r="E285" s="52">
        <v>0.21179633419901311</v>
      </c>
      <c r="F285" s="52">
        <v>8.4310443823339007E-2</v>
      </c>
      <c r="G285" s="52">
        <v>4.8660512551081295E-2</v>
      </c>
      <c r="H285" s="52">
        <v>9.8552175704241282E-2</v>
      </c>
      <c r="I285" s="119">
        <v>436.24014328546991</v>
      </c>
    </row>
    <row r="286" spans="1:9" x14ac:dyDescent="0.3">
      <c r="A286" s="23">
        <v>268</v>
      </c>
      <c r="B286" s="52">
        <v>6.6621624880111155E-2</v>
      </c>
      <c r="C286" s="52">
        <v>0.29693430818795202</v>
      </c>
      <c r="D286" s="52">
        <v>0.55785982380691201</v>
      </c>
      <c r="E286" s="52">
        <v>0.20557532635153178</v>
      </c>
      <c r="F286" s="52">
        <v>0.10341235290636033</v>
      </c>
      <c r="G286" s="52">
        <v>4.6267181361650499E-2</v>
      </c>
      <c r="H286" s="52">
        <v>9.2175991544743457E-2</v>
      </c>
      <c r="I286" s="119">
        <v>227.95382401803329</v>
      </c>
    </row>
    <row r="287" spans="1:9" x14ac:dyDescent="0.3">
      <c r="A287" s="23">
        <v>269</v>
      </c>
      <c r="B287" s="52">
        <v>5.3402979982721629E-2</v>
      </c>
      <c r="C287" s="52">
        <v>0.27058652967344698</v>
      </c>
      <c r="D287" s="52">
        <v>0.5047596917767847</v>
      </c>
      <c r="E287" s="52">
        <v>0.18359215601579632</v>
      </c>
      <c r="F287" s="52">
        <v>8.1735924726666603E-2</v>
      </c>
      <c r="G287" s="52">
        <v>4.5618975770243028E-2</v>
      </c>
      <c r="H287" s="52">
        <v>0.11786584189553734</v>
      </c>
      <c r="I287" s="119">
        <v>358.63575121796163</v>
      </c>
    </row>
    <row r="288" spans="1:9" x14ac:dyDescent="0.3">
      <c r="A288" s="23">
        <v>270</v>
      </c>
      <c r="B288" s="52">
        <v>5.2589445116703597E-2</v>
      </c>
      <c r="C288" s="52">
        <v>0.30211834633239754</v>
      </c>
      <c r="D288" s="52">
        <v>0.43195013449093089</v>
      </c>
      <c r="E288" s="52">
        <v>0.19664393084964277</v>
      </c>
      <c r="F288" s="52">
        <v>0.10422524443314912</v>
      </c>
      <c r="G288" s="52">
        <v>6.0051760088603204E-2</v>
      </c>
      <c r="H288" s="52">
        <v>0.11245879385160903</v>
      </c>
      <c r="I288" s="119">
        <v>329.21911719144606</v>
      </c>
    </row>
    <row r="289" spans="1:9" x14ac:dyDescent="0.3">
      <c r="A289" s="23">
        <v>271</v>
      </c>
      <c r="B289" s="52">
        <v>6.5425044207581551E-2</v>
      </c>
      <c r="C289" s="52">
        <v>0.28363332890934467</v>
      </c>
      <c r="D289" s="52">
        <v>0.70922999355785865</v>
      </c>
      <c r="E289" s="52">
        <v>0.18617185875411149</v>
      </c>
      <c r="F289" s="52">
        <v>8.776158263009759E-2</v>
      </c>
      <c r="G289" s="52">
        <v>4.02938643248969E-2</v>
      </c>
      <c r="H289" s="52">
        <v>0.10638222498047059</v>
      </c>
      <c r="I289" s="119">
        <v>288.47238443456393</v>
      </c>
    </row>
    <row r="290" spans="1:9" x14ac:dyDescent="0.3">
      <c r="A290" s="23">
        <v>272</v>
      </c>
      <c r="B290" s="52">
        <v>5.4444696615326957E-2</v>
      </c>
      <c r="C290" s="52">
        <v>0.24616133346883959</v>
      </c>
      <c r="D290" s="52">
        <v>0.5926401838858204</v>
      </c>
      <c r="E290" s="52">
        <v>0.19131199258116657</v>
      </c>
      <c r="F290" s="52">
        <v>9.5767469968275676E-2</v>
      </c>
      <c r="G290" s="52">
        <v>4.8686195992587757E-2</v>
      </c>
      <c r="H290" s="52">
        <v>0.10394222670518483</v>
      </c>
      <c r="I290" s="119">
        <v>130.1600610633875</v>
      </c>
    </row>
    <row r="291" spans="1:9" x14ac:dyDescent="0.3">
      <c r="A291" s="23">
        <v>273</v>
      </c>
      <c r="B291" s="52">
        <v>5.183436206050604E-2</v>
      </c>
      <c r="C291" s="52">
        <v>0.2522722588790613</v>
      </c>
      <c r="D291" s="52">
        <v>0.62792889960454568</v>
      </c>
      <c r="E291" s="52">
        <v>0.17049303382265943</v>
      </c>
      <c r="F291" s="52">
        <v>8.1265157423505791E-2</v>
      </c>
      <c r="G291" s="52">
        <v>4.1839825069208497E-2</v>
      </c>
      <c r="H291" s="52">
        <v>0.11567138559609469</v>
      </c>
      <c r="I291" s="119">
        <v>236.65193306510639</v>
      </c>
    </row>
    <row r="292" spans="1:9" x14ac:dyDescent="0.3">
      <c r="A292" s="23">
        <v>274</v>
      </c>
      <c r="B292" s="52">
        <v>6.4832464163112419E-2</v>
      </c>
      <c r="C292" s="52">
        <v>0.27982929043948301</v>
      </c>
      <c r="D292" s="52">
        <v>0.63259909166458983</v>
      </c>
      <c r="E292" s="52">
        <v>0.16497684300770504</v>
      </c>
      <c r="F292" s="52">
        <v>0.10326844919445521</v>
      </c>
      <c r="G292" s="52">
        <v>4.1085189053788308E-2</v>
      </c>
      <c r="H292" s="52">
        <v>0.1042870460754606</v>
      </c>
      <c r="I292" s="119">
        <v>146.66678380390076</v>
      </c>
    </row>
    <row r="293" spans="1:9" x14ac:dyDescent="0.3">
      <c r="A293" s="23">
        <v>275</v>
      </c>
      <c r="B293" s="52">
        <v>4.947859557352019E-2</v>
      </c>
      <c r="C293" s="52">
        <v>0.28987422566125565</v>
      </c>
      <c r="D293" s="52">
        <v>0.53368428987553518</v>
      </c>
      <c r="E293" s="52">
        <v>0.18824734071950042</v>
      </c>
      <c r="F293" s="52">
        <v>9.4058930803694471E-2</v>
      </c>
      <c r="G293" s="52">
        <v>4.2363896938674046E-2</v>
      </c>
      <c r="H293" s="52">
        <v>0.10538071524188106</v>
      </c>
      <c r="I293" s="119">
        <v>231.63731164582478</v>
      </c>
    </row>
    <row r="294" spans="1:9" x14ac:dyDescent="0.3">
      <c r="A294" s="23">
        <v>276</v>
      </c>
      <c r="B294" s="52">
        <v>6.6884278589604967E-2</v>
      </c>
      <c r="C294" s="52">
        <v>0.30254943253359157</v>
      </c>
      <c r="D294" s="52">
        <v>0.61922299544048787</v>
      </c>
      <c r="E294" s="52">
        <v>0.19286457144497773</v>
      </c>
      <c r="F294" s="52">
        <v>0.10308572533670851</v>
      </c>
      <c r="G294" s="52">
        <v>6.6914013326810753E-2</v>
      </c>
      <c r="H294" s="52">
        <v>0.11350795540393943</v>
      </c>
      <c r="I294" s="119">
        <v>481.83434286587794</v>
      </c>
    </row>
    <row r="295" spans="1:9" x14ac:dyDescent="0.3">
      <c r="A295" s="23">
        <v>277</v>
      </c>
      <c r="B295" s="52">
        <v>7.9636178668840873E-2</v>
      </c>
      <c r="C295" s="52">
        <v>0.31316898079874433</v>
      </c>
      <c r="D295" s="52">
        <v>0.58864835298658125</v>
      </c>
      <c r="E295" s="52">
        <v>0.20750910122907035</v>
      </c>
      <c r="F295" s="52">
        <v>0.10347861806584351</v>
      </c>
      <c r="G295" s="52">
        <v>3.8010581468599293E-2</v>
      </c>
      <c r="H295" s="52">
        <v>8.3720967741390193E-2</v>
      </c>
      <c r="I295" s="119">
        <v>243.62277515358946</v>
      </c>
    </row>
    <row r="296" spans="1:9" x14ac:dyDescent="0.3">
      <c r="A296" s="23">
        <v>278</v>
      </c>
      <c r="B296" s="52">
        <v>6.5089649107199998E-2</v>
      </c>
      <c r="C296" s="52">
        <v>0.27594917815409842</v>
      </c>
      <c r="D296" s="52">
        <v>0.48111416631475368</v>
      </c>
      <c r="E296" s="52">
        <v>0.18265482983878453</v>
      </c>
      <c r="F296" s="52">
        <v>9.7602606234379746E-2</v>
      </c>
      <c r="G296" s="52">
        <v>6.115599410019229E-2</v>
      </c>
      <c r="H296" s="52">
        <v>0.11271297578465714</v>
      </c>
      <c r="I296" s="119">
        <v>369.60749197078019</v>
      </c>
    </row>
    <row r="297" spans="1:9" x14ac:dyDescent="0.3">
      <c r="A297" s="23">
        <v>279</v>
      </c>
      <c r="B297" s="52">
        <v>6.4302771378344989E-2</v>
      </c>
      <c r="C297" s="52">
        <v>0.28354307527264483</v>
      </c>
      <c r="D297" s="52">
        <v>0.52770924035500011</v>
      </c>
      <c r="E297" s="52">
        <v>0.19159435773242625</v>
      </c>
      <c r="F297" s="52">
        <v>8.159156183387431E-2</v>
      </c>
      <c r="G297" s="52">
        <v>5.3906168116031439E-2</v>
      </c>
      <c r="H297" s="52">
        <v>9.8633664259956663E-2</v>
      </c>
      <c r="I297" s="119">
        <v>630.76707091160313</v>
      </c>
    </row>
    <row r="298" spans="1:9" x14ac:dyDescent="0.3">
      <c r="A298" s="23">
        <v>280</v>
      </c>
      <c r="B298" s="52">
        <v>5.3374946026505915E-2</v>
      </c>
      <c r="C298" s="52">
        <v>0.29035634865651777</v>
      </c>
      <c r="D298" s="52">
        <v>0.45608968086477297</v>
      </c>
      <c r="E298" s="52">
        <v>0.20477797432448161</v>
      </c>
      <c r="F298" s="52">
        <v>0.10324686782732583</v>
      </c>
      <c r="G298" s="52">
        <v>7.4510451812914866E-2</v>
      </c>
      <c r="H298" s="52">
        <v>0.10700031331059826</v>
      </c>
      <c r="I298" s="119">
        <v>540.91038473358219</v>
      </c>
    </row>
    <row r="299" spans="1:9" x14ac:dyDescent="0.3">
      <c r="A299" s="23">
        <v>281</v>
      </c>
      <c r="B299" s="52">
        <v>5.5540261937217512E-2</v>
      </c>
      <c r="C299" s="52">
        <v>0.27904891254079067</v>
      </c>
      <c r="D299" s="52">
        <v>0.70319573231135324</v>
      </c>
      <c r="E299" s="52">
        <v>0.1705506289364338</v>
      </c>
      <c r="F299" s="52">
        <v>0.10260016680895868</v>
      </c>
      <c r="G299" s="52">
        <v>5.2872142058935701E-2</v>
      </c>
      <c r="H299" s="52">
        <v>0.11068283432806773</v>
      </c>
      <c r="I299" s="119">
        <v>209.87518016417528</v>
      </c>
    </row>
    <row r="300" spans="1:9" x14ac:dyDescent="0.3">
      <c r="A300" s="23">
        <v>282</v>
      </c>
      <c r="B300" s="52">
        <v>8.0224370707417919E-2</v>
      </c>
      <c r="C300" s="52">
        <v>0.30220745742400634</v>
      </c>
      <c r="D300" s="52">
        <v>0.5632740758002136</v>
      </c>
      <c r="E300" s="52">
        <v>0.21679435366398991</v>
      </c>
      <c r="F300" s="52">
        <v>0.1030154646589347</v>
      </c>
      <c r="G300" s="52">
        <v>5.5071980856824083E-2</v>
      </c>
      <c r="H300" s="52">
        <v>9.1937324417773691E-2</v>
      </c>
      <c r="I300" s="119">
        <v>351.74792084782621</v>
      </c>
    </row>
    <row r="301" spans="1:9" x14ac:dyDescent="0.3">
      <c r="A301" s="23">
        <v>283</v>
      </c>
      <c r="B301" s="52">
        <v>5.9116323791982436E-2</v>
      </c>
      <c r="C301" s="52">
        <v>0.29459361501594633</v>
      </c>
      <c r="D301" s="52">
        <v>0.5023994231416441</v>
      </c>
      <c r="E301" s="52">
        <v>0.19089600699929465</v>
      </c>
      <c r="F301" s="52">
        <v>0.10126341286404529</v>
      </c>
      <c r="G301" s="52">
        <v>3.9599094202616765E-2</v>
      </c>
      <c r="H301" s="52">
        <v>8.5813526887939584E-2</v>
      </c>
      <c r="I301" s="119">
        <v>183.92784888835499</v>
      </c>
    </row>
    <row r="302" spans="1:9" x14ac:dyDescent="0.3">
      <c r="A302" s="23">
        <v>284</v>
      </c>
      <c r="B302" s="52">
        <v>5.3906465837130935E-2</v>
      </c>
      <c r="C302" s="52">
        <v>0.2767663543134638</v>
      </c>
      <c r="D302" s="52">
        <v>0.45825796479905456</v>
      </c>
      <c r="E302" s="52">
        <v>0.18619635038008642</v>
      </c>
      <c r="F302" s="52">
        <v>9.6639923979207343E-2</v>
      </c>
      <c r="G302" s="52">
        <v>5.4124878364617386E-2</v>
      </c>
      <c r="H302" s="52">
        <v>9.6798380849854482E-2</v>
      </c>
      <c r="I302" s="119">
        <v>274.71742902870153</v>
      </c>
    </row>
    <row r="303" spans="1:9" x14ac:dyDescent="0.3">
      <c r="A303" s="23">
        <v>285</v>
      </c>
      <c r="B303" s="52">
        <v>7.3452247084616742E-2</v>
      </c>
      <c r="C303" s="52">
        <v>0.26932221946705454</v>
      </c>
      <c r="D303" s="52">
        <v>0.51894946947857745</v>
      </c>
      <c r="E303" s="52">
        <v>0.19621161587635574</v>
      </c>
      <c r="F303" s="52">
        <v>9.207132948660364E-2</v>
      </c>
      <c r="G303" s="52">
        <v>4.1645366559399127E-2</v>
      </c>
      <c r="H303" s="52">
        <v>0.1156699730782305</v>
      </c>
      <c r="I303" s="119">
        <v>218.84996660899463</v>
      </c>
    </row>
    <row r="304" spans="1:9" x14ac:dyDescent="0.3">
      <c r="A304" s="23">
        <v>286</v>
      </c>
      <c r="B304" s="52">
        <v>5.2233638048375518E-2</v>
      </c>
      <c r="C304" s="52">
        <v>0.25789986659220049</v>
      </c>
      <c r="D304" s="52">
        <v>0.5366713281219051</v>
      </c>
      <c r="E304" s="52">
        <v>0.18563641375082957</v>
      </c>
      <c r="F304" s="52">
        <v>9.8522318714096127E-2</v>
      </c>
      <c r="G304" s="52">
        <v>5.5411363392832397E-2</v>
      </c>
      <c r="H304" s="52">
        <v>0.11769470792098738</v>
      </c>
      <c r="I304" s="119">
        <v>194.70830579033785</v>
      </c>
    </row>
    <row r="305" spans="1:9" x14ac:dyDescent="0.3">
      <c r="A305" s="23">
        <v>287</v>
      </c>
      <c r="B305" s="52">
        <v>5.5508710902068485E-2</v>
      </c>
      <c r="C305" s="52">
        <v>0.29292717206060098</v>
      </c>
      <c r="D305" s="52">
        <v>0.71050457657423971</v>
      </c>
      <c r="E305" s="52">
        <v>0.18496869599197024</v>
      </c>
      <c r="F305" s="52">
        <v>0.10349482202716757</v>
      </c>
      <c r="G305" s="52">
        <v>7.0809920848134589E-2</v>
      </c>
      <c r="H305" s="52">
        <v>0.12028103400032406</v>
      </c>
      <c r="I305" s="119">
        <v>471.72872201889635</v>
      </c>
    </row>
    <row r="306" spans="1:9" x14ac:dyDescent="0.3">
      <c r="A306" s="23">
        <v>288</v>
      </c>
      <c r="B306" s="52">
        <v>6.0612763356281629E-2</v>
      </c>
      <c r="C306" s="52">
        <v>0.27184015802133638</v>
      </c>
      <c r="D306" s="52">
        <v>0.43477731862678642</v>
      </c>
      <c r="E306" s="52">
        <v>0.18435389427468191</v>
      </c>
      <c r="F306" s="52">
        <v>9.1105347845752499E-2</v>
      </c>
      <c r="G306" s="52">
        <v>6.0201929407692686E-2</v>
      </c>
      <c r="H306" s="52">
        <v>9.7208669348358701E-2</v>
      </c>
      <c r="I306" s="119">
        <v>450.99433347379431</v>
      </c>
    </row>
    <row r="307" spans="1:9" x14ac:dyDescent="0.3">
      <c r="A307" s="23">
        <v>289</v>
      </c>
      <c r="B307" s="52">
        <v>6.3643122950825443E-2</v>
      </c>
      <c r="C307" s="52">
        <v>0.28948386127459019</v>
      </c>
      <c r="D307" s="52">
        <v>0.52728769007742959</v>
      </c>
      <c r="E307" s="52">
        <v>0.1780127933746703</v>
      </c>
      <c r="F307" s="52">
        <v>9.895164740977927E-2</v>
      </c>
      <c r="G307" s="52">
        <v>4.5441175814555305E-2</v>
      </c>
      <c r="H307" s="52">
        <v>0.10968451969217226</v>
      </c>
      <c r="I307" s="119">
        <v>233.57981850231835</v>
      </c>
    </row>
    <row r="308" spans="1:9" x14ac:dyDescent="0.3">
      <c r="A308" s="23">
        <v>290</v>
      </c>
      <c r="B308" s="52">
        <v>5.4495711604795605E-2</v>
      </c>
      <c r="C308" s="52">
        <v>0.28733882097256486</v>
      </c>
      <c r="D308" s="52">
        <v>0.61104448565473368</v>
      </c>
      <c r="E308" s="52">
        <v>0.20165741774313359</v>
      </c>
      <c r="F308" s="52">
        <v>0.10270474157381658</v>
      </c>
      <c r="G308" s="52">
        <v>5.8309614095126916E-2</v>
      </c>
      <c r="H308" s="52">
        <v>0.11453996365997163</v>
      </c>
      <c r="I308" s="119">
        <v>282.80821369777897</v>
      </c>
    </row>
    <row r="309" spans="1:9" x14ac:dyDescent="0.3">
      <c r="A309" s="23">
        <v>291</v>
      </c>
      <c r="B309" s="52">
        <v>5.4161362086333265E-2</v>
      </c>
      <c r="C309" s="52">
        <v>0.29983683172014497</v>
      </c>
      <c r="D309" s="52">
        <v>0.58706649738108097</v>
      </c>
      <c r="E309" s="52">
        <v>0.17929411897411981</v>
      </c>
      <c r="F309" s="52">
        <v>8.5278152499527485E-2</v>
      </c>
      <c r="G309" s="52">
        <v>5.6398386175600917E-2</v>
      </c>
      <c r="H309" s="52">
        <v>0.100052406276413</v>
      </c>
      <c r="I309" s="119">
        <v>642.08763431628734</v>
      </c>
    </row>
    <row r="310" spans="1:9" x14ac:dyDescent="0.3">
      <c r="A310" s="23">
        <v>292</v>
      </c>
      <c r="B310" s="52">
        <v>5.4731246742735953E-2</v>
      </c>
      <c r="C310" s="52">
        <v>0.30754668861040213</v>
      </c>
      <c r="D310" s="52">
        <v>0.67921597339844753</v>
      </c>
      <c r="E310" s="52">
        <v>0.18471151978751418</v>
      </c>
      <c r="F310" s="52">
        <v>9.4080292801329013E-2</v>
      </c>
      <c r="G310" s="52">
        <v>4.4509755096502221E-2</v>
      </c>
      <c r="H310" s="52">
        <v>0.1068428381553035</v>
      </c>
      <c r="I310" s="119">
        <v>316.07781099429377</v>
      </c>
    </row>
    <row r="311" spans="1:9" x14ac:dyDescent="0.3">
      <c r="A311" s="23">
        <v>293</v>
      </c>
      <c r="B311" s="52">
        <v>6.6946058789320903E-2</v>
      </c>
      <c r="C311" s="52">
        <v>0.27320434757283235</v>
      </c>
      <c r="D311" s="52">
        <v>0.57330744486572149</v>
      </c>
      <c r="E311" s="52">
        <v>0.19766495519098129</v>
      </c>
      <c r="F311" s="52">
        <v>0.10121522169427703</v>
      </c>
      <c r="G311" s="52">
        <v>4.9019349967909125E-2</v>
      </c>
      <c r="H311" s="52">
        <v>0.11319403066772774</v>
      </c>
      <c r="I311" s="119">
        <v>193.67120415137478</v>
      </c>
    </row>
    <row r="312" spans="1:9" x14ac:dyDescent="0.3">
      <c r="A312" s="23">
        <v>294</v>
      </c>
      <c r="B312" s="52">
        <v>5.5634492415667272E-2</v>
      </c>
      <c r="C312" s="52">
        <v>0.28994749260258151</v>
      </c>
      <c r="D312" s="52">
        <v>0.62407175543469884</v>
      </c>
      <c r="E312" s="52">
        <v>0.207027450770955</v>
      </c>
      <c r="F312" s="52">
        <v>0.10429282311378138</v>
      </c>
      <c r="G312" s="52">
        <v>4.8278678428575E-2</v>
      </c>
      <c r="H312" s="52">
        <v>0.11474120398478126</v>
      </c>
      <c r="I312" s="119">
        <v>195.38999265276371</v>
      </c>
    </row>
    <row r="313" spans="1:9" x14ac:dyDescent="0.3">
      <c r="A313" s="23">
        <v>295</v>
      </c>
      <c r="B313" s="52">
        <v>6.7664082105065748E-2</v>
      </c>
      <c r="C313" s="52">
        <v>0.30122008361047875</v>
      </c>
      <c r="D313" s="52">
        <v>0.43256987848572814</v>
      </c>
      <c r="E313" s="52">
        <v>0.21954877796739949</v>
      </c>
      <c r="F313" s="52">
        <v>0.10314757940849792</v>
      </c>
      <c r="G313" s="52">
        <v>4.8201747760032193E-2</v>
      </c>
      <c r="H313" s="52">
        <v>9.9965732840024982E-2</v>
      </c>
      <c r="I313" s="119">
        <v>259.14281916470628</v>
      </c>
    </row>
    <row r="314" spans="1:9" x14ac:dyDescent="0.3">
      <c r="A314" s="23">
        <v>296</v>
      </c>
      <c r="B314" s="52">
        <v>5.9622194012799716E-2</v>
      </c>
      <c r="C314" s="52">
        <v>0.27158297458767222</v>
      </c>
      <c r="D314" s="52">
        <v>0.55341987584986596</v>
      </c>
      <c r="E314" s="52">
        <v>0.17976714055890416</v>
      </c>
      <c r="F314" s="52">
        <v>9.3496877985267374E-2</v>
      </c>
      <c r="G314" s="52">
        <v>4.7036909502785412E-2</v>
      </c>
      <c r="H314" s="52">
        <v>0.10952861299686775</v>
      </c>
      <c r="I314" s="119">
        <v>233.88435308760228</v>
      </c>
    </row>
    <row r="315" spans="1:9" x14ac:dyDescent="0.3">
      <c r="A315" s="23">
        <v>297</v>
      </c>
      <c r="B315" s="52">
        <v>5.8077464698504902E-2</v>
      </c>
      <c r="C315" s="52">
        <v>0.29458695846774618</v>
      </c>
      <c r="D315" s="52">
        <v>0.54099936225123935</v>
      </c>
      <c r="E315" s="52">
        <v>0.1640089228915155</v>
      </c>
      <c r="F315" s="52">
        <v>0.10428652178641551</v>
      </c>
      <c r="G315" s="52">
        <v>6.0087228066754046E-2</v>
      </c>
      <c r="H315" s="52">
        <v>0.11942837289175073</v>
      </c>
      <c r="I315" s="119">
        <v>314.48878211343339</v>
      </c>
    </row>
    <row r="316" spans="1:9" x14ac:dyDescent="0.3">
      <c r="A316" s="23">
        <v>298</v>
      </c>
      <c r="B316" s="52">
        <v>5.6856479220072795E-2</v>
      </c>
      <c r="C316" s="52">
        <v>0.28444604117593553</v>
      </c>
      <c r="D316" s="52">
        <v>0.63775985630746956</v>
      </c>
      <c r="E316" s="52">
        <v>0.19020402349800788</v>
      </c>
      <c r="F316" s="52">
        <v>9.8748712600780122E-2</v>
      </c>
      <c r="G316" s="52">
        <v>4.6756703526039368E-2</v>
      </c>
      <c r="H316" s="52">
        <v>9.9026779852635E-2</v>
      </c>
      <c r="I316" s="119">
        <v>217.84871760917039</v>
      </c>
    </row>
    <row r="317" spans="1:9" x14ac:dyDescent="0.3">
      <c r="A317" s="23">
        <v>299</v>
      </c>
      <c r="B317" s="52">
        <v>8.567963760061989E-2</v>
      </c>
      <c r="C317" s="52">
        <v>0.30229808479099085</v>
      </c>
      <c r="D317" s="52">
        <v>0.50536955844605957</v>
      </c>
      <c r="E317" s="52">
        <v>0.20097212684329188</v>
      </c>
      <c r="F317" s="52">
        <v>9.1182571247283267E-2</v>
      </c>
      <c r="G317" s="52">
        <v>5.3171460456158004E-2</v>
      </c>
      <c r="H317" s="52">
        <v>0.1145294663794009</v>
      </c>
      <c r="I317" s="119">
        <v>532.75602460911421</v>
      </c>
    </row>
    <row r="318" spans="1:9" x14ac:dyDescent="0.3">
      <c r="A318" s="23">
        <v>300</v>
      </c>
      <c r="B318" s="52">
        <v>5.5964027251042922E-2</v>
      </c>
      <c r="C318" s="52">
        <v>0.29315890228189079</v>
      </c>
      <c r="D318" s="52">
        <v>0.44314826393427798</v>
      </c>
      <c r="E318" s="52">
        <v>0.20948921512398888</v>
      </c>
      <c r="F318" s="52">
        <v>8.0380629895320632E-2</v>
      </c>
      <c r="G318" s="52">
        <v>6.9318178851350096E-2</v>
      </c>
      <c r="H318" s="52">
        <v>0.1048449146810394</v>
      </c>
      <c r="I318" s="119">
        <v>1902.7286069778427</v>
      </c>
    </row>
    <row r="319" spans="1:9" x14ac:dyDescent="0.3">
      <c r="A319" s="23">
        <v>301</v>
      </c>
      <c r="B319" s="52">
        <v>5.9703188511439069E-2</v>
      </c>
      <c r="C319" s="52">
        <v>0.30732222866205811</v>
      </c>
      <c r="D319" s="52">
        <v>0.45208872736356037</v>
      </c>
      <c r="E319" s="52">
        <v>0.18119298673539452</v>
      </c>
      <c r="F319" s="52">
        <v>9.7537677257417063E-2</v>
      </c>
      <c r="G319" s="52">
        <v>4.3433089968595247E-2</v>
      </c>
      <c r="H319" s="52">
        <v>0.11308891924695945</v>
      </c>
      <c r="I319" s="119">
        <v>279.09025399440452</v>
      </c>
    </row>
    <row r="320" spans="1:9" x14ac:dyDescent="0.3">
      <c r="A320" s="23">
        <v>302</v>
      </c>
      <c r="B320" s="52">
        <v>5.8406773810676119E-2</v>
      </c>
      <c r="C320" s="52">
        <v>0.28135730222406813</v>
      </c>
      <c r="D320" s="52">
        <v>0.52833017238175373</v>
      </c>
      <c r="E320" s="52">
        <v>0.19803327725903819</v>
      </c>
      <c r="F320" s="52">
        <v>9.905738430486967E-2</v>
      </c>
      <c r="G320" s="52">
        <v>5.8534405752239622E-2</v>
      </c>
      <c r="H320" s="52">
        <v>9.2380979082524128E-2</v>
      </c>
      <c r="I320" s="119">
        <v>319.11508272252672</v>
      </c>
    </row>
    <row r="321" spans="1:9" x14ac:dyDescent="0.3">
      <c r="A321" s="23">
        <v>303</v>
      </c>
      <c r="B321" s="52">
        <v>6.2232367009831133E-2</v>
      </c>
      <c r="C321" s="52">
        <v>0.29579856074424216</v>
      </c>
      <c r="D321" s="52">
        <v>0.45229660394716314</v>
      </c>
      <c r="E321" s="52">
        <v>0.19690210026958155</v>
      </c>
      <c r="F321" s="52">
        <v>9.744540397429699E-2</v>
      </c>
      <c r="G321" s="52">
        <v>6.0225774434996812E-2</v>
      </c>
      <c r="H321" s="52">
        <v>9.7037553351869615E-2</v>
      </c>
      <c r="I321" s="119">
        <v>436.4380537417444</v>
      </c>
    </row>
    <row r="322" spans="1:9" x14ac:dyDescent="0.3">
      <c r="A322" s="23">
        <v>304</v>
      </c>
      <c r="B322" s="52">
        <v>5.2274300743377189E-2</v>
      </c>
      <c r="C322" s="52">
        <v>0.2917197709350795</v>
      </c>
      <c r="D322" s="52">
        <v>0.77692428009757941</v>
      </c>
      <c r="E322" s="52">
        <v>0.17719619967826242</v>
      </c>
      <c r="F322" s="52">
        <v>9.7382871204690469E-2</v>
      </c>
      <c r="G322" s="52">
        <v>3.476035648577791E-2</v>
      </c>
      <c r="H322" s="52">
        <v>0.11492390352772644</v>
      </c>
      <c r="I322" s="119">
        <v>166.00369565058594</v>
      </c>
    </row>
    <row r="323" spans="1:9" x14ac:dyDescent="0.3">
      <c r="A323" s="23">
        <v>305</v>
      </c>
      <c r="B323" s="52">
        <v>6.2116031050988035E-2</v>
      </c>
      <c r="C323" s="52">
        <v>0.28894958844142493</v>
      </c>
      <c r="D323" s="52">
        <v>0.58786711723782781</v>
      </c>
      <c r="E323" s="52">
        <v>0.19586395242028032</v>
      </c>
      <c r="F323" s="52">
        <v>9.217607934974259E-2</v>
      </c>
      <c r="G323" s="52">
        <v>4.3986260505740366E-2</v>
      </c>
      <c r="H323" s="52">
        <v>0.10370855265394788</v>
      </c>
      <c r="I323" s="119">
        <v>285.61399046835476</v>
      </c>
    </row>
    <row r="324" spans="1:9" x14ac:dyDescent="0.3">
      <c r="A324" s="23">
        <v>306</v>
      </c>
      <c r="B324" s="52">
        <v>6.9538839942825434E-2</v>
      </c>
      <c r="C324" s="52">
        <v>0.29879882720491524</v>
      </c>
      <c r="D324" s="52">
        <v>0.61380628529397763</v>
      </c>
      <c r="E324" s="52">
        <v>0.19700039214677145</v>
      </c>
      <c r="F324" s="52">
        <v>9.2050127264988638E-2</v>
      </c>
      <c r="G324" s="52">
        <v>4.8026026313782111E-2</v>
      </c>
      <c r="H324" s="52">
        <v>0.10441201114293953</v>
      </c>
      <c r="I324" s="119">
        <v>382.94616679018958</v>
      </c>
    </row>
    <row r="325" spans="1:9" x14ac:dyDescent="0.3">
      <c r="A325" s="23">
        <v>307</v>
      </c>
      <c r="B325" s="52">
        <v>7.1344667883653845E-2</v>
      </c>
      <c r="C325" s="52">
        <v>0.30300861207553148</v>
      </c>
      <c r="D325" s="52">
        <v>0.64959250264642787</v>
      </c>
      <c r="E325" s="52">
        <v>0.15771408529200759</v>
      </c>
      <c r="F325" s="52">
        <v>8.2257800045339072E-2</v>
      </c>
      <c r="G325" s="52">
        <v>5.3365470029104051E-2</v>
      </c>
      <c r="H325" s="52">
        <v>0.11026723081004647</v>
      </c>
      <c r="I325" s="119">
        <v>731.68805449107253</v>
      </c>
    </row>
    <row r="326" spans="1:9" x14ac:dyDescent="0.3">
      <c r="A326" s="23">
        <v>308</v>
      </c>
      <c r="B326" s="52">
        <v>6.861341741074746E-2</v>
      </c>
      <c r="C326" s="52">
        <v>0.27550890378362475</v>
      </c>
      <c r="D326" s="52">
        <v>0.49580484912822642</v>
      </c>
      <c r="E326" s="52">
        <v>0.19955593037759922</v>
      </c>
      <c r="F326" s="52">
        <v>9.7399074578164102E-2</v>
      </c>
      <c r="G326" s="52">
        <v>6.6381865734293236E-2</v>
      </c>
      <c r="H326" s="52">
        <v>0.11826572628494897</v>
      </c>
      <c r="I326" s="119">
        <v>472.77626406885588</v>
      </c>
    </row>
    <row r="327" spans="1:9" x14ac:dyDescent="0.3">
      <c r="A327" s="23">
        <v>309</v>
      </c>
      <c r="B327" s="52">
        <v>6.9304392591494082E-2</v>
      </c>
      <c r="C327" s="52">
        <v>0.27426768919637246</v>
      </c>
      <c r="D327" s="52">
        <v>0.47351408365051889</v>
      </c>
      <c r="E327" s="52">
        <v>0.1667198596603823</v>
      </c>
      <c r="F327" s="52">
        <v>9.8936199515717999E-2</v>
      </c>
      <c r="G327" s="52">
        <v>4.8022844838941717E-2</v>
      </c>
      <c r="H327" s="52">
        <v>7.8063415690748122E-2</v>
      </c>
      <c r="I327" s="119">
        <v>213.99521715631789</v>
      </c>
    </row>
    <row r="328" spans="1:9" x14ac:dyDescent="0.3">
      <c r="A328" s="23">
        <v>310</v>
      </c>
      <c r="B328" s="52">
        <v>6.5965351808425665E-2</v>
      </c>
      <c r="C328" s="52">
        <v>0.30086621843701505</v>
      </c>
      <c r="D328" s="52">
        <v>0.45160681312395112</v>
      </c>
      <c r="E328" s="52">
        <v>0.20578026275392342</v>
      </c>
      <c r="F328" s="52">
        <v>9.2113333645702095E-2</v>
      </c>
      <c r="G328" s="52">
        <v>5.0809392884743926E-2</v>
      </c>
      <c r="H328" s="52">
        <v>0.10708376973803005</v>
      </c>
      <c r="I328" s="119">
        <v>418.03044277164389</v>
      </c>
    </row>
    <row r="329" spans="1:9" x14ac:dyDescent="0.3">
      <c r="A329" s="23">
        <v>311</v>
      </c>
      <c r="B329" s="52">
        <v>5.576216918320967E-2</v>
      </c>
      <c r="C329" s="52">
        <v>0.27882057940239846</v>
      </c>
      <c r="D329" s="52">
        <v>0.64520426124117991</v>
      </c>
      <c r="E329" s="52">
        <v>0.19594331535605469</v>
      </c>
      <c r="F329" s="52">
        <v>0.10484484854236291</v>
      </c>
      <c r="G329" s="52">
        <v>4.4261208546028517E-2</v>
      </c>
      <c r="H329" s="52">
        <v>0.11172923367691645</v>
      </c>
      <c r="I329" s="119">
        <v>137.45942228352231</v>
      </c>
    </row>
    <row r="330" spans="1:9" x14ac:dyDescent="0.3">
      <c r="A330" s="23">
        <v>312</v>
      </c>
      <c r="B330" s="52">
        <v>7.0055772020350723E-2</v>
      </c>
      <c r="C330" s="52">
        <v>0.28387377063559072</v>
      </c>
      <c r="D330" s="52">
        <v>0.44737151518899487</v>
      </c>
      <c r="E330" s="52">
        <v>0.16109437594823905</v>
      </c>
      <c r="F330" s="52">
        <v>8.4462223861015082E-2</v>
      </c>
      <c r="G330" s="52">
        <v>3.8286395713697442E-2</v>
      </c>
      <c r="H330" s="52">
        <v>0.11027524854364032</v>
      </c>
      <c r="I330" s="119">
        <v>318.15035431050808</v>
      </c>
    </row>
    <row r="331" spans="1:9" x14ac:dyDescent="0.3">
      <c r="A331" s="23">
        <v>313</v>
      </c>
      <c r="B331" s="52">
        <v>5.5751457625029331E-2</v>
      </c>
      <c r="C331" s="52">
        <v>0.29240412433175672</v>
      </c>
      <c r="D331" s="52">
        <v>0.53226830067565878</v>
      </c>
      <c r="E331" s="52">
        <v>0.17924037517174993</v>
      </c>
      <c r="F331" s="52">
        <v>9.461252347841631E-2</v>
      </c>
      <c r="G331" s="52">
        <v>5.0332349383307599E-2</v>
      </c>
      <c r="H331" s="52">
        <v>9.5114926975302189E-2</v>
      </c>
      <c r="I331" s="119">
        <v>319.84664702759852</v>
      </c>
    </row>
    <row r="332" spans="1:9" x14ac:dyDescent="0.3">
      <c r="A332" s="23">
        <v>314</v>
      </c>
      <c r="B332" s="52">
        <v>6.9503513955027657E-2</v>
      </c>
      <c r="C332" s="52">
        <v>0.28760615974725717</v>
      </c>
      <c r="D332" s="52">
        <v>0.51419452365803087</v>
      </c>
      <c r="E332" s="52">
        <v>0.20817453404025033</v>
      </c>
      <c r="F332" s="52">
        <v>9.2503900909599104E-2</v>
      </c>
      <c r="G332" s="52">
        <v>6.0763785637563135E-2</v>
      </c>
      <c r="H332" s="52">
        <v>0.11254217401023789</v>
      </c>
      <c r="I332" s="119">
        <v>534.73884075079366</v>
      </c>
    </row>
    <row r="333" spans="1:9" x14ac:dyDescent="0.3">
      <c r="A333" s="23">
        <v>315</v>
      </c>
      <c r="B333" s="52">
        <v>6.8437013600328916E-2</v>
      </c>
      <c r="C333" s="52">
        <v>0.29430788170098721</v>
      </c>
      <c r="D333" s="52">
        <v>0.71636868148486288</v>
      </c>
      <c r="E333" s="52">
        <v>0.18982495944833297</v>
      </c>
      <c r="F333" s="52">
        <v>9.1263263301062769E-2</v>
      </c>
      <c r="G333" s="52">
        <v>4.7751190852279378E-2</v>
      </c>
      <c r="H333" s="52">
        <v>0.1092270365449978</v>
      </c>
      <c r="I333" s="119">
        <v>370.99563882249782</v>
      </c>
    </row>
    <row r="334" spans="1:9" x14ac:dyDescent="0.3">
      <c r="A334" s="23">
        <v>316</v>
      </c>
      <c r="B334" s="52">
        <v>6.0822294745665938E-2</v>
      </c>
      <c r="C334" s="52">
        <v>0.27762984822893794</v>
      </c>
      <c r="D334" s="52">
        <v>0.45179098581743254</v>
      </c>
      <c r="E334" s="52">
        <v>0.20134310373750558</v>
      </c>
      <c r="F334" s="52">
        <v>9.750589453683299E-2</v>
      </c>
      <c r="G334" s="52">
        <v>6.1423100352494708E-2</v>
      </c>
      <c r="H334" s="52">
        <v>0.10992407101388491</v>
      </c>
      <c r="I334" s="119">
        <v>372.79430440925773</v>
      </c>
    </row>
    <row r="335" spans="1:9" x14ac:dyDescent="0.3">
      <c r="A335" s="23">
        <v>317</v>
      </c>
      <c r="B335" s="52">
        <v>7.6435321579838789E-2</v>
      </c>
      <c r="C335" s="52">
        <v>0.27249407318196944</v>
      </c>
      <c r="D335" s="52">
        <v>0.51424687529768087</v>
      </c>
      <c r="E335" s="52">
        <v>0.1852528034977691</v>
      </c>
      <c r="F335" s="52">
        <v>0.1017401456660396</v>
      </c>
      <c r="G335" s="52">
        <v>4.4475662059561299E-2</v>
      </c>
      <c r="H335" s="52">
        <v>8.456742545462502E-2</v>
      </c>
      <c r="I335" s="119">
        <v>171.86534917478608</v>
      </c>
    </row>
    <row r="336" spans="1:9" x14ac:dyDescent="0.3">
      <c r="A336" s="23">
        <v>318</v>
      </c>
      <c r="B336" s="52">
        <v>6.7826740788772655E-2</v>
      </c>
      <c r="C336" s="52">
        <v>0.26196522996917571</v>
      </c>
      <c r="D336" s="52">
        <v>0.49209085189305007</v>
      </c>
      <c r="E336" s="52">
        <v>0.17934774572324552</v>
      </c>
      <c r="F336" s="52">
        <v>9.4280742863969133E-2</v>
      </c>
      <c r="G336" s="52">
        <v>5.9641663533257186E-2</v>
      </c>
      <c r="H336" s="52">
        <v>0.10744113707519155</v>
      </c>
      <c r="I336" s="119">
        <v>346.85437906764207</v>
      </c>
    </row>
    <row r="337" spans="1:9" x14ac:dyDescent="0.3">
      <c r="A337" s="23">
        <v>319</v>
      </c>
      <c r="B337" s="52">
        <v>6.6550787929157321E-2</v>
      </c>
      <c r="C337" s="52">
        <v>0.29019148038120801</v>
      </c>
      <c r="D337" s="52">
        <v>0.52203571569980012</v>
      </c>
      <c r="E337" s="52">
        <v>0.16254350506288598</v>
      </c>
      <c r="F337" s="52">
        <v>0.10208538946571354</v>
      </c>
      <c r="G337" s="52">
        <v>5.8594185212801464E-2</v>
      </c>
      <c r="H337" s="52">
        <v>9.4400286763278135E-2</v>
      </c>
      <c r="I337" s="119">
        <v>328.87962720742286</v>
      </c>
    </row>
    <row r="338" spans="1:9" x14ac:dyDescent="0.3">
      <c r="A338" s="23">
        <v>320</v>
      </c>
      <c r="B338" s="52">
        <v>6.4176696437730441E-2</v>
      </c>
      <c r="C338" s="52">
        <v>0.2825665265064613</v>
      </c>
      <c r="D338" s="52">
        <v>0.60750365754651869</v>
      </c>
      <c r="E338" s="52">
        <v>0.19085670722874137</v>
      </c>
      <c r="F338" s="52">
        <v>9.2694023160386066E-2</v>
      </c>
      <c r="G338" s="52">
        <v>4.2198323990194284E-2</v>
      </c>
      <c r="H338" s="52">
        <v>9.9848247131148704E-2</v>
      </c>
      <c r="I338" s="119">
        <v>246.48846655196067</v>
      </c>
    </row>
    <row r="339" spans="1:9" x14ac:dyDescent="0.3">
      <c r="A339" s="23">
        <v>321</v>
      </c>
      <c r="B339" s="52">
        <v>5.6171040501884414E-2</v>
      </c>
      <c r="C339" s="52">
        <v>0.29691221928814315</v>
      </c>
      <c r="D339" s="52">
        <v>0.46092928847537079</v>
      </c>
      <c r="E339" s="52">
        <v>0.18746403094508057</v>
      </c>
      <c r="F339" s="52">
        <v>9.8317669404319255E-2</v>
      </c>
      <c r="G339" s="52">
        <v>5.3938565228216773E-2</v>
      </c>
      <c r="H339" s="52">
        <v>0.11821559130935211</v>
      </c>
      <c r="I339" s="119">
        <v>328.36052932223208</v>
      </c>
    </row>
    <row r="340" spans="1:9" x14ac:dyDescent="0.3">
      <c r="A340" s="23">
        <v>322</v>
      </c>
      <c r="B340" s="52">
        <v>6.6831590790160933E-2</v>
      </c>
      <c r="C340" s="52">
        <v>0.28650858211993691</v>
      </c>
      <c r="D340" s="52">
        <v>0.58133442986673223</v>
      </c>
      <c r="E340" s="52">
        <v>0.21665366651116014</v>
      </c>
      <c r="F340" s="52">
        <v>0.10045871110017</v>
      </c>
      <c r="G340" s="52">
        <v>4.9348894592638762E-2</v>
      </c>
      <c r="H340" s="52">
        <v>0.11001842247571483</v>
      </c>
      <c r="I340" s="119">
        <v>246.03208481024924</v>
      </c>
    </row>
    <row r="341" spans="1:9" x14ac:dyDescent="0.3">
      <c r="A341" s="23">
        <v>323</v>
      </c>
      <c r="B341" s="52">
        <v>5.6103949356744544E-2</v>
      </c>
      <c r="C341" s="52">
        <v>0.30010215761462261</v>
      </c>
      <c r="D341" s="52">
        <v>0.44185368038657413</v>
      </c>
      <c r="E341" s="52">
        <v>0.21460252184886972</v>
      </c>
      <c r="F341" s="52">
        <v>9.6549455126144088E-2</v>
      </c>
      <c r="G341" s="52">
        <v>5.7048313289867258E-2</v>
      </c>
      <c r="H341" s="52">
        <v>8.8718849709270617E-2</v>
      </c>
      <c r="I341" s="119">
        <v>405.69591743682753</v>
      </c>
    </row>
    <row r="342" spans="1:9" x14ac:dyDescent="0.3">
      <c r="A342" s="23">
        <v>324</v>
      </c>
      <c r="B342" s="52">
        <v>4.9238631259673246E-2</v>
      </c>
      <c r="C342" s="52">
        <v>0.30166641188746435</v>
      </c>
      <c r="D342" s="52">
        <v>0.52063364427657233</v>
      </c>
      <c r="E342" s="52">
        <v>0.15676811124523282</v>
      </c>
      <c r="F342" s="52">
        <v>9.3023739438545999E-2</v>
      </c>
      <c r="G342" s="52">
        <v>3.4066448994654094E-2</v>
      </c>
      <c r="H342" s="52">
        <v>0.11363361427571175</v>
      </c>
      <c r="I342" s="119">
        <v>215.96254299647856</v>
      </c>
    </row>
    <row r="343" spans="1:9" x14ac:dyDescent="0.3">
      <c r="A343" s="23">
        <v>325</v>
      </c>
      <c r="B343" s="52">
        <v>4.77682825304164E-2</v>
      </c>
      <c r="C343" s="52">
        <v>0.28356240555989642</v>
      </c>
      <c r="D343" s="52">
        <v>0.46199963915046927</v>
      </c>
      <c r="E343" s="52">
        <v>0.20752606428456227</v>
      </c>
      <c r="F343" s="52">
        <v>8.7613180534717436E-2</v>
      </c>
      <c r="G343" s="52">
        <v>3.9416568738071617E-2</v>
      </c>
      <c r="H343" s="52">
        <v>9.8314476012792862E-2</v>
      </c>
      <c r="I343" s="119">
        <v>248.12124186332161</v>
      </c>
    </row>
    <row r="344" spans="1:9" x14ac:dyDescent="0.3">
      <c r="A344" s="23">
        <v>326</v>
      </c>
      <c r="B344" s="52">
        <v>4.662305662463178E-2</v>
      </c>
      <c r="C344" s="52">
        <v>0.27817032677945552</v>
      </c>
      <c r="D344" s="52">
        <v>0.56947146787459035</v>
      </c>
      <c r="E344" s="52">
        <v>0.20624278787267417</v>
      </c>
      <c r="F344" s="52">
        <v>9.3102222385994249E-2</v>
      </c>
      <c r="G344" s="52">
        <v>4.169727498427396E-2</v>
      </c>
      <c r="H344" s="52">
        <v>0.11454839478517712</v>
      </c>
      <c r="I344" s="119">
        <v>194.61468597472771</v>
      </c>
    </row>
    <row r="345" spans="1:9" x14ac:dyDescent="0.3">
      <c r="A345" s="23">
        <v>327</v>
      </c>
      <c r="B345" s="52">
        <v>7.0151103656993161E-2</v>
      </c>
      <c r="C345" s="52">
        <v>0.27901544863751016</v>
      </c>
      <c r="D345" s="52">
        <v>0.51793469331844633</v>
      </c>
      <c r="E345" s="52">
        <v>0.19771287709773461</v>
      </c>
      <c r="F345" s="52">
        <v>9.6736155613046174E-2</v>
      </c>
      <c r="G345" s="52">
        <v>4.9054427729132891E-2</v>
      </c>
      <c r="H345" s="52">
        <v>0.10867476543899132</v>
      </c>
      <c r="I345" s="119">
        <v>262.59729546450649</v>
      </c>
    </row>
    <row r="346" spans="1:9" x14ac:dyDescent="0.3">
      <c r="A346" s="23">
        <v>328</v>
      </c>
      <c r="B346" s="52">
        <v>6.9900866041175153E-2</v>
      </c>
      <c r="C346" s="52">
        <v>0.26451635938996321</v>
      </c>
      <c r="D346" s="52">
        <v>0.4751996560687427</v>
      </c>
      <c r="E346" s="52">
        <v>0.18832273837806901</v>
      </c>
      <c r="F346" s="52">
        <v>0.10457920389665962</v>
      </c>
      <c r="G346" s="52">
        <v>5.3935668637008896E-2</v>
      </c>
      <c r="H346" s="52">
        <v>0.10785920655895456</v>
      </c>
      <c r="I346" s="119">
        <v>176.03419722946953</v>
      </c>
    </row>
    <row r="347" spans="1:9" x14ac:dyDescent="0.3">
      <c r="A347" s="23">
        <v>329</v>
      </c>
      <c r="B347" s="52">
        <v>5.3812909733166957E-2</v>
      </c>
      <c r="C347" s="52">
        <v>0.27533503887914851</v>
      </c>
      <c r="D347" s="52">
        <v>0.46859646522289816</v>
      </c>
      <c r="E347" s="52">
        <v>0.18283225375862475</v>
      </c>
      <c r="F347" s="52">
        <v>0.10481376522276561</v>
      </c>
      <c r="G347" s="52">
        <v>4.5678739288586817E-2</v>
      </c>
      <c r="H347" s="52">
        <v>0.1093777611134514</v>
      </c>
      <c r="I347" s="119">
        <v>133.01986864515044</v>
      </c>
    </row>
    <row r="348" spans="1:9" x14ac:dyDescent="0.3">
      <c r="A348" s="23">
        <v>330</v>
      </c>
      <c r="B348" s="52">
        <v>5.728247229793916E-2</v>
      </c>
      <c r="C348" s="52">
        <v>0.30707877407083639</v>
      </c>
      <c r="D348" s="52">
        <v>0.40989910120241246</v>
      </c>
      <c r="E348" s="52">
        <v>0.21444497786130234</v>
      </c>
      <c r="F348" s="52">
        <v>0.10064447351451232</v>
      </c>
      <c r="G348" s="52">
        <v>5.5201869020982994E-2</v>
      </c>
      <c r="H348" s="52">
        <v>8.2944587813923526E-2</v>
      </c>
      <c r="I348" s="119">
        <v>349.78799025989804</v>
      </c>
    </row>
    <row r="349" spans="1:9" x14ac:dyDescent="0.3">
      <c r="A349" s="23">
        <v>331</v>
      </c>
      <c r="B349" s="52">
        <v>6.8455989794877645E-2</v>
      </c>
      <c r="C349" s="52">
        <v>0.28655115725792479</v>
      </c>
      <c r="D349" s="52">
        <v>0.48349068275222656</v>
      </c>
      <c r="E349" s="52">
        <v>0.16793098280148075</v>
      </c>
      <c r="F349" s="52">
        <v>0.10441245966574912</v>
      </c>
      <c r="G349" s="52">
        <v>3.7073955650884206E-2</v>
      </c>
      <c r="H349" s="52">
        <v>0.11330674075326731</v>
      </c>
      <c r="I349" s="119">
        <v>142.84439766680586</v>
      </c>
    </row>
    <row r="350" spans="1:9" x14ac:dyDescent="0.3">
      <c r="A350" s="23">
        <v>332</v>
      </c>
      <c r="B350" s="52">
        <v>7.0911902062221616E-2</v>
      </c>
      <c r="C350" s="52">
        <v>0.29562710914066176</v>
      </c>
      <c r="D350" s="52">
        <v>0.62199212011904881</v>
      </c>
      <c r="E350" s="52">
        <v>0.20189757844725492</v>
      </c>
      <c r="F350" s="52">
        <v>0.10648344268655224</v>
      </c>
      <c r="G350" s="52">
        <v>3.6258855658775208E-2</v>
      </c>
      <c r="H350" s="52">
        <v>9.9421654008384985E-2</v>
      </c>
      <c r="I350" s="119">
        <v>153.48213376947925</v>
      </c>
    </row>
    <row r="351" spans="1:9" x14ac:dyDescent="0.3">
      <c r="A351" s="23">
        <v>333</v>
      </c>
      <c r="B351" s="52">
        <v>6.7368651177099753E-2</v>
      </c>
      <c r="C351" s="52">
        <v>0.26098019647273291</v>
      </c>
      <c r="D351" s="52">
        <v>0.44865400829252167</v>
      </c>
      <c r="E351" s="52">
        <v>0.17489381584848493</v>
      </c>
      <c r="F351" s="52">
        <v>9.5943950699374364E-2</v>
      </c>
      <c r="G351" s="52">
        <v>6.6885330530352075E-2</v>
      </c>
      <c r="H351" s="52">
        <v>0.10772331419810215</v>
      </c>
      <c r="I351" s="119">
        <v>437.92068467590263</v>
      </c>
    </row>
    <row r="352" spans="1:9" x14ac:dyDescent="0.3">
      <c r="A352" s="23">
        <v>334</v>
      </c>
      <c r="B352" s="52">
        <v>7.1279401396202674E-2</v>
      </c>
      <c r="C352" s="52">
        <v>0.27280396881834984</v>
      </c>
      <c r="D352" s="52">
        <v>0.59610121514344194</v>
      </c>
      <c r="E352" s="52">
        <v>0.20535893088196178</v>
      </c>
      <c r="F352" s="52">
        <v>9.6239974221219299E-2</v>
      </c>
      <c r="G352" s="52">
        <v>5.25447329326445E-2</v>
      </c>
      <c r="H352" s="52">
        <v>0.10935392365843236</v>
      </c>
      <c r="I352" s="119">
        <v>281.62740591959567</v>
      </c>
    </row>
    <row r="353" spans="1:9" x14ac:dyDescent="0.3">
      <c r="A353" s="23">
        <v>335</v>
      </c>
      <c r="B353" s="52">
        <v>5.3502170136489682E-2</v>
      </c>
      <c r="C353" s="52">
        <v>0.27328490719657972</v>
      </c>
      <c r="D353" s="52">
        <v>0.56016152184609136</v>
      </c>
      <c r="E353" s="52">
        <v>0.19805325566786081</v>
      </c>
      <c r="F353" s="52">
        <v>9.5728542765713534E-2</v>
      </c>
      <c r="G353" s="52">
        <v>6.240657782310606E-2</v>
      </c>
      <c r="H353" s="52">
        <v>0.11939346800829236</v>
      </c>
      <c r="I353" s="119">
        <v>384.53808875356594</v>
      </c>
    </row>
    <row r="354" spans="1:9" x14ac:dyDescent="0.3">
      <c r="A354" s="23">
        <v>336</v>
      </c>
      <c r="B354" s="52">
        <v>6.3210266878053686E-2</v>
      </c>
      <c r="C354" s="52">
        <v>0.26637456880050137</v>
      </c>
      <c r="D354" s="52">
        <v>0.59516546391965131</v>
      </c>
      <c r="E354" s="52">
        <v>0.16696442832751399</v>
      </c>
      <c r="F354" s="52">
        <v>0.10192222399674557</v>
      </c>
      <c r="G354" s="52">
        <v>5.3891476812450573E-2</v>
      </c>
      <c r="H354" s="52">
        <v>0.10548591356060796</v>
      </c>
      <c r="I354" s="119">
        <v>195.33071734396609</v>
      </c>
    </row>
    <row r="355" spans="1:9" x14ac:dyDescent="0.3">
      <c r="A355" s="23">
        <v>337</v>
      </c>
      <c r="B355" s="52">
        <v>4.182556806253708E-2</v>
      </c>
      <c r="C355" s="52">
        <v>0.25674897891885512</v>
      </c>
      <c r="D355" s="52">
        <v>0.43256377026286663</v>
      </c>
      <c r="E355" s="52">
        <v>0.17775279414446019</v>
      </c>
      <c r="F355" s="52">
        <v>0.10631900010969018</v>
      </c>
      <c r="G355" s="52">
        <v>4.9137047302684839E-2</v>
      </c>
      <c r="H355" s="52">
        <v>9.8324149478324963E-2</v>
      </c>
      <c r="I355" s="119">
        <v>76.363943312486924</v>
      </c>
    </row>
    <row r="356" spans="1:9" x14ac:dyDescent="0.3">
      <c r="A356" s="23">
        <v>338</v>
      </c>
      <c r="B356" s="52">
        <v>6.9006529486656698E-2</v>
      </c>
      <c r="C356" s="52">
        <v>0.28418774565695964</v>
      </c>
      <c r="D356" s="52">
        <v>0.52244590157507553</v>
      </c>
      <c r="E356" s="52">
        <v>0.20409714776927468</v>
      </c>
      <c r="F356" s="52">
        <v>0.10052060646546164</v>
      </c>
      <c r="G356" s="52">
        <v>6.1538174855498298E-2</v>
      </c>
      <c r="H356" s="52">
        <v>8.6384482378263142E-2</v>
      </c>
      <c r="I356" s="119">
        <v>370.83310838111078</v>
      </c>
    </row>
    <row r="357" spans="1:9" x14ac:dyDescent="0.3">
      <c r="A357" s="23">
        <v>339</v>
      </c>
      <c r="B357" s="52">
        <v>6.2358871430518853E-2</v>
      </c>
      <c r="C357" s="52">
        <v>0.29100638770511289</v>
      </c>
      <c r="D357" s="52">
        <v>0.43099216179723321</v>
      </c>
      <c r="E357" s="52">
        <v>0.16718425327124151</v>
      </c>
      <c r="F357" s="52">
        <v>9.9402816237921937E-2</v>
      </c>
      <c r="G357" s="52">
        <v>3.9436466372255841E-2</v>
      </c>
      <c r="H357" s="52">
        <v>0.10266768830442483</v>
      </c>
      <c r="I357" s="119">
        <v>191.8522229564829</v>
      </c>
    </row>
    <row r="358" spans="1:9" x14ac:dyDescent="0.3">
      <c r="A358" s="23">
        <v>340</v>
      </c>
      <c r="B358" s="52">
        <v>6.3775556546582804E-2</v>
      </c>
      <c r="C358" s="52">
        <v>0.27840900644993216</v>
      </c>
      <c r="D358" s="52">
        <v>0.48278756457279692</v>
      </c>
      <c r="E358" s="52">
        <v>0.19370551786830983</v>
      </c>
      <c r="F358" s="52">
        <v>9.9487826229512494E-2</v>
      </c>
      <c r="G358" s="52">
        <v>6.0473043411428243E-2</v>
      </c>
      <c r="H358" s="52">
        <v>0.10813775922274882</v>
      </c>
      <c r="I358" s="119">
        <v>337.1151190679156</v>
      </c>
    </row>
    <row r="359" spans="1:9" x14ac:dyDescent="0.3">
      <c r="A359" s="23">
        <v>341</v>
      </c>
      <c r="B359" s="52">
        <v>6.6578511764981932E-2</v>
      </c>
      <c r="C359" s="52">
        <v>0.26153906189524884</v>
      </c>
      <c r="D359" s="52">
        <v>0.49798292584697484</v>
      </c>
      <c r="E359" s="52">
        <v>0.18296338279503474</v>
      </c>
      <c r="F359" s="52">
        <v>9.8419479717004543E-2</v>
      </c>
      <c r="G359" s="52">
        <v>5.5741141224067682E-2</v>
      </c>
      <c r="H359" s="52">
        <v>0.10590062880145307</v>
      </c>
      <c r="I359" s="119">
        <v>236.21774517399552</v>
      </c>
    </row>
    <row r="360" spans="1:9" x14ac:dyDescent="0.3">
      <c r="A360" s="23">
        <v>342</v>
      </c>
      <c r="B360" s="52">
        <v>5.3741381589577142E-2</v>
      </c>
      <c r="C360" s="52">
        <v>0.29660080247381798</v>
      </c>
      <c r="D360" s="52">
        <v>0.63554366113858141</v>
      </c>
      <c r="E360" s="52">
        <v>0.19093388170405839</v>
      </c>
      <c r="F360" s="52">
        <v>0.10119509464048787</v>
      </c>
      <c r="G360" s="52">
        <v>5.0626846047708993E-2</v>
      </c>
      <c r="H360" s="52">
        <v>9.9895731621208753E-2</v>
      </c>
      <c r="I360" s="119">
        <v>257.23590152163791</v>
      </c>
    </row>
    <row r="361" spans="1:9" x14ac:dyDescent="0.3">
      <c r="A361" s="23">
        <v>343</v>
      </c>
      <c r="B361" s="52">
        <v>7.9776952334583651E-2</v>
      </c>
      <c r="C361" s="52">
        <v>0.31420968716977815</v>
      </c>
      <c r="D361" s="52">
        <v>0.69655509769042834</v>
      </c>
      <c r="E361" s="52">
        <v>0.1964205276357531</v>
      </c>
      <c r="F361" s="52">
        <v>9.2231722016377179E-2</v>
      </c>
      <c r="G361" s="52">
        <v>4.7270793469836404E-2</v>
      </c>
      <c r="H361" s="52">
        <v>9.7998813641767685E-2</v>
      </c>
      <c r="I361" s="119">
        <v>456.32425229354646</v>
      </c>
    </row>
    <row r="362" spans="1:9" x14ac:dyDescent="0.3">
      <c r="A362" s="23">
        <v>344</v>
      </c>
      <c r="B362" s="52">
        <v>5.6135967742028108E-2</v>
      </c>
      <c r="C362" s="52">
        <v>0.28638694011611704</v>
      </c>
      <c r="D362" s="52">
        <v>0.67244085646786478</v>
      </c>
      <c r="E362" s="52">
        <v>0.163847511824016</v>
      </c>
      <c r="F362" s="52">
        <v>9.3379227468189441E-2</v>
      </c>
      <c r="G362" s="52">
        <v>4.5616858971218296E-2</v>
      </c>
      <c r="H362" s="52">
        <v>0.11135091088415142</v>
      </c>
      <c r="I362" s="119">
        <v>267.00722720941036</v>
      </c>
    </row>
    <row r="363" spans="1:9" x14ac:dyDescent="0.3">
      <c r="A363" s="23">
        <v>345</v>
      </c>
      <c r="B363" s="52">
        <v>4.6618264741533383E-2</v>
      </c>
      <c r="C363" s="52">
        <v>0.30045204554262678</v>
      </c>
      <c r="D363" s="52">
        <v>0.52285273020556333</v>
      </c>
      <c r="E363" s="52">
        <v>0.1901709242845443</v>
      </c>
      <c r="F363" s="52">
        <v>0.10339775201186821</v>
      </c>
      <c r="G363" s="52">
        <v>5.9827702028057338E-2</v>
      </c>
      <c r="H363" s="52">
        <v>0.10739242836288289</v>
      </c>
      <c r="I363" s="119">
        <v>318.91631199885632</v>
      </c>
    </row>
    <row r="364" spans="1:9" x14ac:dyDescent="0.3">
      <c r="A364" s="23">
        <v>346</v>
      </c>
      <c r="B364" s="52">
        <v>5.6900463092613221E-2</v>
      </c>
      <c r="C364" s="52">
        <v>0.28159893598625757</v>
      </c>
      <c r="D364" s="52">
        <v>0.70548395533421582</v>
      </c>
      <c r="E364" s="52">
        <v>0.20560919129754079</v>
      </c>
      <c r="F364" s="52">
        <v>8.6271962255533546E-2</v>
      </c>
      <c r="G364" s="52">
        <v>6.6229591681362512E-2</v>
      </c>
      <c r="H364" s="52">
        <v>0.11201437080253976</v>
      </c>
      <c r="I364" s="119">
        <v>868.29996908916098</v>
      </c>
    </row>
    <row r="365" spans="1:9" x14ac:dyDescent="0.3">
      <c r="A365" s="23">
        <v>347</v>
      </c>
      <c r="B365" s="52">
        <v>6.0629269417712496E-2</v>
      </c>
      <c r="C365" s="52">
        <v>0.27593663301047444</v>
      </c>
      <c r="D365" s="52">
        <v>0.61813259653121133</v>
      </c>
      <c r="E365" s="52">
        <v>0.19254767078882151</v>
      </c>
      <c r="F365" s="52">
        <v>8.5175474075118593E-2</v>
      </c>
      <c r="G365" s="52">
        <v>6.4596357664132062E-2</v>
      </c>
      <c r="H365" s="52">
        <v>9.8523423695988571E-2</v>
      </c>
      <c r="I365" s="119">
        <v>818.87122543896533</v>
      </c>
    </row>
    <row r="366" spans="1:9" x14ac:dyDescent="0.3">
      <c r="A366" s="23">
        <v>348</v>
      </c>
      <c r="B366" s="52">
        <v>5.750448955886725E-2</v>
      </c>
      <c r="C366" s="52">
        <v>0.25604628367662902</v>
      </c>
      <c r="D366" s="52">
        <v>0.58022234439969311</v>
      </c>
      <c r="E366" s="52">
        <v>0.15778859611770671</v>
      </c>
      <c r="F366" s="52">
        <v>8.2846270386504328E-2</v>
      </c>
      <c r="G366" s="52">
        <v>4.741315898544169E-2</v>
      </c>
      <c r="H366" s="52">
        <v>0.11870933725659955</v>
      </c>
      <c r="I366" s="119">
        <v>309.62224465910202</v>
      </c>
    </row>
    <row r="367" spans="1:9" x14ac:dyDescent="0.3">
      <c r="A367" s="23">
        <v>349</v>
      </c>
      <c r="B367" s="52">
        <v>7.8472833075266077E-2</v>
      </c>
      <c r="C367" s="52">
        <v>0.24927510391144378</v>
      </c>
      <c r="D367" s="52">
        <v>0.60000740250065698</v>
      </c>
      <c r="E367" s="52">
        <v>0.18293628760373373</v>
      </c>
      <c r="F367" s="52">
        <v>9.3107438504552081E-2</v>
      </c>
      <c r="G367" s="52">
        <v>6.9725124507264966E-2</v>
      </c>
      <c r="H367" s="52">
        <v>9.8344944314100721E-2</v>
      </c>
      <c r="I367" s="119">
        <v>550.3976435791991</v>
      </c>
    </row>
    <row r="368" spans="1:9" x14ac:dyDescent="0.3">
      <c r="A368" s="23">
        <v>350</v>
      </c>
      <c r="B368" s="52">
        <v>7.0803167315677831E-2</v>
      </c>
      <c r="C368" s="52">
        <v>0.27734689877015684</v>
      </c>
      <c r="D368" s="52">
        <v>0.64184502391112219</v>
      </c>
      <c r="E368" s="52">
        <v>0.18492397354753815</v>
      </c>
      <c r="F368" s="52">
        <v>8.5973746628559125E-2</v>
      </c>
      <c r="G368" s="52">
        <v>3.4896562863018267E-2</v>
      </c>
      <c r="H368" s="52">
        <v>0.11300347767884072</v>
      </c>
      <c r="I368" s="119">
        <v>247.33697000168453</v>
      </c>
    </row>
    <row r="369" spans="1:9" x14ac:dyDescent="0.3">
      <c r="A369" s="23">
        <v>351</v>
      </c>
      <c r="B369" s="52">
        <v>5.4455971393204697E-2</v>
      </c>
      <c r="C369" s="52">
        <v>0.26426780766035379</v>
      </c>
      <c r="D369" s="52">
        <v>0.5488645734632589</v>
      </c>
      <c r="E369" s="52">
        <v>0.18812988448243786</v>
      </c>
      <c r="F369" s="52">
        <v>9.8077541720736794E-2</v>
      </c>
      <c r="G369" s="52">
        <v>4.7864055820428783E-2</v>
      </c>
      <c r="H369" s="52">
        <v>8.6581249545851502E-2</v>
      </c>
      <c r="I369" s="119">
        <v>164.58043068476809</v>
      </c>
    </row>
    <row r="370" spans="1:9" x14ac:dyDescent="0.3">
      <c r="A370" s="23">
        <v>352</v>
      </c>
      <c r="B370" s="52">
        <v>6.8366286526233971E-2</v>
      </c>
      <c r="C370" s="52">
        <v>0.27612674190921971</v>
      </c>
      <c r="D370" s="52">
        <v>0.70313514903707519</v>
      </c>
      <c r="E370" s="52">
        <v>0.2240195873071984</v>
      </c>
      <c r="F370" s="52">
        <v>9.3036705324571423E-2</v>
      </c>
      <c r="G370" s="52">
        <v>5.9429413168391614E-2</v>
      </c>
      <c r="H370" s="52">
        <v>0.10538971510503341</v>
      </c>
      <c r="I370" s="119">
        <v>435.5645404600852</v>
      </c>
    </row>
    <row r="371" spans="1:9" x14ac:dyDescent="0.3">
      <c r="A371" s="23">
        <v>353</v>
      </c>
      <c r="B371" s="52">
        <v>5.1947612435078727E-2</v>
      </c>
      <c r="C371" s="52">
        <v>0.28147700496567529</v>
      </c>
      <c r="D371" s="52">
        <v>0.66355093822299038</v>
      </c>
      <c r="E371" s="52">
        <v>0.17946134855173973</v>
      </c>
      <c r="F371" s="52">
        <v>8.1080625169262843E-2</v>
      </c>
      <c r="G371" s="52">
        <v>3.17198390776737E-2</v>
      </c>
      <c r="H371" s="52">
        <v>9.881184298073982E-2</v>
      </c>
      <c r="I371" s="119">
        <v>250.17451655726617</v>
      </c>
    </row>
    <row r="372" spans="1:9" x14ac:dyDescent="0.3">
      <c r="A372" s="23">
        <v>354</v>
      </c>
      <c r="B372" s="52">
        <v>4.8349762133042137E-2</v>
      </c>
      <c r="C372" s="52">
        <v>0.28567502648351645</v>
      </c>
      <c r="D372" s="52">
        <v>0.46107697278635401</v>
      </c>
      <c r="E372" s="52">
        <v>0.19952317502064446</v>
      </c>
      <c r="F372" s="52">
        <v>9.653673605395971E-2</v>
      </c>
      <c r="G372" s="52">
        <v>6.1211178628388256E-2</v>
      </c>
      <c r="H372" s="52">
        <v>9.8074539528704527E-2</v>
      </c>
      <c r="I372" s="119">
        <v>391.38790352817</v>
      </c>
    </row>
    <row r="373" spans="1:9" x14ac:dyDescent="0.3">
      <c r="A373" s="23">
        <v>355</v>
      </c>
      <c r="B373" s="52">
        <v>6.2088948070451344E-2</v>
      </c>
      <c r="C373" s="52">
        <v>0.30328831710252713</v>
      </c>
      <c r="D373" s="52">
        <v>0.53395945556628976</v>
      </c>
      <c r="E373" s="52">
        <v>0.18254010344192512</v>
      </c>
      <c r="F373" s="52">
        <v>9.3980003588754288E-2</v>
      </c>
      <c r="G373" s="52">
        <v>5.8132804337691781E-2</v>
      </c>
      <c r="H373" s="52">
        <v>0.12022083047893081</v>
      </c>
      <c r="I373" s="119">
        <v>500.94109841540472</v>
      </c>
    </row>
    <row r="374" spans="1:9" x14ac:dyDescent="0.3">
      <c r="A374" s="23">
        <v>356</v>
      </c>
      <c r="B374" s="52">
        <v>5.4650419614739834E-2</v>
      </c>
      <c r="C374" s="52">
        <v>0.26118514006196214</v>
      </c>
      <c r="D374" s="52">
        <v>0.55825946387141967</v>
      </c>
      <c r="E374" s="52">
        <v>0.1982999510755836</v>
      </c>
      <c r="F374" s="52">
        <v>9.6912430691481671E-2</v>
      </c>
      <c r="G374" s="52">
        <v>2.6321358408302707E-2</v>
      </c>
      <c r="H374" s="52">
        <v>9.933304448431074E-2</v>
      </c>
      <c r="I374" s="119">
        <v>58.130309615665603</v>
      </c>
    </row>
    <row r="375" spans="1:9" x14ac:dyDescent="0.3">
      <c r="A375" s="23">
        <v>357</v>
      </c>
      <c r="B375" s="52">
        <v>5.6374935130418358E-2</v>
      </c>
      <c r="C375" s="52">
        <v>0.29875860675906746</v>
      </c>
      <c r="D375" s="52">
        <v>0.53136322519963319</v>
      </c>
      <c r="E375" s="52">
        <v>0.20637622853628521</v>
      </c>
      <c r="F375" s="52">
        <v>0.10192051433994026</v>
      </c>
      <c r="G375" s="52">
        <v>5.9848676730339515E-2</v>
      </c>
      <c r="H375" s="52">
        <v>0.10034967493483408</v>
      </c>
      <c r="I375" s="119">
        <v>355.19131942614268</v>
      </c>
    </row>
    <row r="376" spans="1:9" x14ac:dyDescent="0.3">
      <c r="A376" s="23">
        <v>358</v>
      </c>
      <c r="B376" s="52">
        <v>5.2530622532385322E-2</v>
      </c>
      <c r="C376" s="52">
        <v>0.29537977571759017</v>
      </c>
      <c r="D376" s="52">
        <v>0.5184249893818873</v>
      </c>
      <c r="E376" s="52">
        <v>0.19095112319522373</v>
      </c>
      <c r="F376" s="52">
        <v>0.10301037720397556</v>
      </c>
      <c r="G376" s="52">
        <v>3.8244184497324994E-2</v>
      </c>
      <c r="H376" s="52">
        <v>0.11553199974960547</v>
      </c>
      <c r="I376" s="119">
        <v>156.88038132308444</v>
      </c>
    </row>
    <row r="377" spans="1:9" x14ac:dyDescent="0.3">
      <c r="A377" s="23">
        <v>359</v>
      </c>
      <c r="B377" s="52">
        <v>5.737863341431667E-2</v>
      </c>
      <c r="C377" s="52">
        <v>0.28575381335330319</v>
      </c>
      <c r="D377" s="52">
        <v>0.47912502159502801</v>
      </c>
      <c r="E377" s="52">
        <v>0.16961332471461329</v>
      </c>
      <c r="F377" s="52">
        <v>9.7050153038528736E-2</v>
      </c>
      <c r="G377" s="52">
        <v>6.9096082344441145E-2</v>
      </c>
      <c r="H377" s="52">
        <v>9.3095467240425958E-2</v>
      </c>
      <c r="I377" s="119">
        <v>566.83773428926304</v>
      </c>
    </row>
    <row r="378" spans="1:9" x14ac:dyDescent="0.3">
      <c r="A378" s="23">
        <v>360</v>
      </c>
      <c r="B378" s="52">
        <v>5.6465399383288165E-2</v>
      </c>
      <c r="C378" s="52">
        <v>0.25071310175794376</v>
      </c>
      <c r="D378" s="52">
        <v>0.4394191209845113</v>
      </c>
      <c r="E378" s="52">
        <v>0.1952406705806452</v>
      </c>
      <c r="F378" s="52">
        <v>8.0654472847009287E-2</v>
      </c>
      <c r="G378" s="52">
        <v>5.1623214827340426E-2</v>
      </c>
      <c r="H378" s="52">
        <v>9.8978925589087663E-2</v>
      </c>
      <c r="I378" s="119">
        <v>392.27519539065082</v>
      </c>
    </row>
    <row r="379" spans="1:9" x14ac:dyDescent="0.3">
      <c r="A379" s="23">
        <v>361</v>
      </c>
      <c r="B379" s="52">
        <v>6.4496334707961067E-2</v>
      </c>
      <c r="C379" s="52">
        <v>0.271647112836093</v>
      </c>
      <c r="D379" s="52">
        <v>0.45592942647873097</v>
      </c>
      <c r="E379" s="52">
        <v>0.19565200804178157</v>
      </c>
      <c r="F379" s="52">
        <v>9.4389322091842448E-2</v>
      </c>
      <c r="G379" s="52">
        <v>5.4129936901686493E-2</v>
      </c>
      <c r="H379" s="52">
        <v>0.11088740333930208</v>
      </c>
      <c r="I379" s="119">
        <v>305.69971611601397</v>
      </c>
    </row>
    <row r="380" spans="1:9" x14ac:dyDescent="0.3">
      <c r="A380" s="23">
        <v>362</v>
      </c>
      <c r="B380" s="52">
        <v>8.5395678523629656E-2</v>
      </c>
      <c r="C380" s="52">
        <v>0.2973010939461308</v>
      </c>
      <c r="D380" s="52">
        <v>0.5186153289714911</v>
      </c>
      <c r="E380" s="52">
        <v>0.18536034759891287</v>
      </c>
      <c r="F380" s="52">
        <v>8.1121245469265232E-2</v>
      </c>
      <c r="G380" s="52">
        <v>4.9243681895809674E-2</v>
      </c>
      <c r="H380" s="52">
        <v>0.10736125286417159</v>
      </c>
      <c r="I380" s="119">
        <v>669.18033930081299</v>
      </c>
    </row>
    <row r="381" spans="1:9" x14ac:dyDescent="0.3">
      <c r="A381" s="23">
        <v>363</v>
      </c>
      <c r="B381" s="52">
        <v>5.3971248084550949E-2</v>
      </c>
      <c r="C381" s="52">
        <v>0.27878132514375198</v>
      </c>
      <c r="D381" s="52">
        <v>0.43846974589249127</v>
      </c>
      <c r="E381" s="52">
        <v>0.1936796536656448</v>
      </c>
      <c r="F381" s="52">
        <v>8.980345621987712E-2</v>
      </c>
      <c r="G381" s="52">
        <v>5.5171030570522014E-2</v>
      </c>
      <c r="H381" s="52">
        <v>0.10017011406211372</v>
      </c>
      <c r="I381" s="119">
        <v>401.81343116715084</v>
      </c>
    </row>
    <row r="382" spans="1:9" x14ac:dyDescent="0.3">
      <c r="A382" s="23">
        <v>364</v>
      </c>
      <c r="B382" s="52">
        <v>6.9070428696634295E-2</v>
      </c>
      <c r="C382" s="52">
        <v>0.31138540664390413</v>
      </c>
      <c r="D382" s="52">
        <v>0.7016718075423326</v>
      </c>
      <c r="E382" s="52">
        <v>0.21295378847361507</v>
      </c>
      <c r="F382" s="52">
        <v>9.619441320456748E-2</v>
      </c>
      <c r="G382" s="52">
        <v>4.7830433846906675E-2</v>
      </c>
      <c r="H382" s="52">
        <v>0.11322469790581113</v>
      </c>
      <c r="I382" s="119">
        <v>368.93249124284728</v>
      </c>
    </row>
    <row r="383" spans="1:9" x14ac:dyDescent="0.3">
      <c r="A383" s="23">
        <v>365</v>
      </c>
      <c r="B383" s="52">
        <v>4.9163549868695221E-2</v>
      </c>
      <c r="C383" s="52">
        <v>0.28763089589105545</v>
      </c>
      <c r="D383" s="52">
        <v>0.61268005557122041</v>
      </c>
      <c r="E383" s="52">
        <v>0.20837610577889504</v>
      </c>
      <c r="F383" s="52">
        <v>0.10243538706567426</v>
      </c>
      <c r="G383" s="52">
        <v>5.5068814917646418E-2</v>
      </c>
      <c r="H383" s="52">
        <v>9.9321564715289148E-2</v>
      </c>
      <c r="I383" s="119">
        <v>245.81094855239556</v>
      </c>
    </row>
    <row r="384" spans="1:9" x14ac:dyDescent="0.3">
      <c r="A384" s="23">
        <v>366</v>
      </c>
      <c r="B384" s="52">
        <v>4.9278599595031579E-2</v>
      </c>
      <c r="C384" s="52">
        <v>0.3003011938913201</v>
      </c>
      <c r="D384" s="52">
        <v>0.48184770547152422</v>
      </c>
      <c r="E384" s="52">
        <v>0.2022210866679986</v>
      </c>
      <c r="F384" s="52">
        <v>0.10251622040005898</v>
      </c>
      <c r="G384" s="52">
        <v>6.7719840958450725E-2</v>
      </c>
      <c r="H384" s="52">
        <v>9.5427989477376518E-2</v>
      </c>
      <c r="I384" s="119">
        <v>449.87741820146294</v>
      </c>
    </row>
    <row r="385" spans="1:9" x14ac:dyDescent="0.3">
      <c r="A385" s="23">
        <v>367</v>
      </c>
      <c r="B385" s="52">
        <v>6.6322959130743889E-2</v>
      </c>
      <c r="C385" s="52">
        <v>0.29873517016844309</v>
      </c>
      <c r="D385" s="52">
        <v>0.7378217497042403</v>
      </c>
      <c r="E385" s="52">
        <v>0.20688511547039889</v>
      </c>
      <c r="F385" s="52">
        <v>0.10159519051142647</v>
      </c>
      <c r="G385" s="52">
        <v>5.6190255577146422E-2</v>
      </c>
      <c r="H385" s="52">
        <v>9.3642161097203302E-2</v>
      </c>
      <c r="I385" s="119">
        <v>339.0439995876016</v>
      </c>
    </row>
    <row r="386" spans="1:9" x14ac:dyDescent="0.3">
      <c r="A386" s="23">
        <v>368</v>
      </c>
      <c r="B386" s="52">
        <v>6.1079604916521861E-2</v>
      </c>
      <c r="C386" s="52">
        <v>0.29962464898096264</v>
      </c>
      <c r="D386" s="52">
        <v>0.48075843286197634</v>
      </c>
      <c r="E386" s="52">
        <v>0.19688218696278478</v>
      </c>
      <c r="F386" s="52">
        <v>0.10457697906448818</v>
      </c>
      <c r="G386" s="52">
        <v>5.4468791859088719E-2</v>
      </c>
      <c r="H386" s="52">
        <v>0.1040418242585459</v>
      </c>
      <c r="I386" s="119">
        <v>278.87452125284869</v>
      </c>
    </row>
    <row r="387" spans="1:9" x14ac:dyDescent="0.3">
      <c r="A387" s="23">
        <v>369</v>
      </c>
      <c r="B387" s="52">
        <v>6.2155560964112247E-2</v>
      </c>
      <c r="C387" s="52">
        <v>0.30903837631376557</v>
      </c>
      <c r="D387" s="52">
        <v>0.58507176675613959</v>
      </c>
      <c r="E387" s="52">
        <v>0.19669688947384176</v>
      </c>
      <c r="F387" s="52">
        <v>9.3506176697017385E-2</v>
      </c>
      <c r="G387" s="52">
        <v>5.2334596039539993E-2</v>
      </c>
      <c r="H387" s="52">
        <v>0.11695420379403185</v>
      </c>
      <c r="I387" s="119">
        <v>439.32735823123943</v>
      </c>
    </row>
    <row r="388" spans="1:9" x14ac:dyDescent="0.3">
      <c r="A388" s="23">
        <v>370</v>
      </c>
      <c r="B388" s="52">
        <v>5.5095873382946838E-2</v>
      </c>
      <c r="C388" s="52">
        <v>0.28735252525932231</v>
      </c>
      <c r="D388" s="52">
        <v>0.66616398812634459</v>
      </c>
      <c r="E388" s="52">
        <v>0.17917830723918476</v>
      </c>
      <c r="F388" s="52">
        <v>8.8861193350695755E-2</v>
      </c>
      <c r="G388" s="52">
        <v>2.981014077285989E-2</v>
      </c>
      <c r="H388" s="52">
        <v>0.11294934562244879</v>
      </c>
      <c r="I388" s="119">
        <v>191.2601534191877</v>
      </c>
    </row>
    <row r="389" spans="1:9" x14ac:dyDescent="0.3">
      <c r="A389" s="23">
        <v>371</v>
      </c>
      <c r="B389" s="52">
        <v>5.4590427911360477E-2</v>
      </c>
      <c r="C389" s="52">
        <v>0.28822528983314394</v>
      </c>
      <c r="D389" s="52">
        <v>0.56911248382301216</v>
      </c>
      <c r="E389" s="52">
        <v>0.17710846920606602</v>
      </c>
      <c r="F389" s="52">
        <v>0.10228161652451979</v>
      </c>
      <c r="G389" s="52">
        <v>4.6391911613121402E-2</v>
      </c>
      <c r="H389" s="52">
        <v>9.242061554808266E-2</v>
      </c>
      <c r="I389" s="119">
        <v>192.61910651720277</v>
      </c>
    </row>
    <row r="390" spans="1:9" x14ac:dyDescent="0.3">
      <c r="A390" s="23">
        <v>372</v>
      </c>
      <c r="B390" s="52">
        <v>5.7501854611309564E-2</v>
      </c>
      <c r="C390" s="52">
        <v>0.29091234266199784</v>
      </c>
      <c r="D390" s="52">
        <v>0.66321766395060866</v>
      </c>
      <c r="E390" s="52">
        <v>0.19750660963019448</v>
      </c>
      <c r="F390" s="52">
        <v>9.9943995163761401E-2</v>
      </c>
      <c r="G390" s="52">
        <v>5.6404526495524486E-2</v>
      </c>
      <c r="H390" s="52">
        <v>0.10493204536692571</v>
      </c>
      <c r="I390" s="119">
        <v>315.93459883055743</v>
      </c>
    </row>
    <row r="391" spans="1:9" x14ac:dyDescent="0.3">
      <c r="A391" s="23">
        <v>373</v>
      </c>
      <c r="B391" s="52">
        <v>5.4508684407167475E-2</v>
      </c>
      <c r="C391" s="52">
        <v>0.25157919096999398</v>
      </c>
      <c r="D391" s="52">
        <v>0.5844072950065714</v>
      </c>
      <c r="E391" s="52">
        <v>0.17782515899698526</v>
      </c>
      <c r="F391" s="52">
        <v>9.0124749423478964E-2</v>
      </c>
      <c r="G391" s="52">
        <v>3.9831571058446431E-2</v>
      </c>
      <c r="H391" s="52">
        <v>0.10748619612439549</v>
      </c>
      <c r="I391" s="119">
        <v>134.33792567237222</v>
      </c>
    </row>
    <row r="392" spans="1:9" x14ac:dyDescent="0.3">
      <c r="A392" s="23">
        <v>374</v>
      </c>
      <c r="B392" s="52">
        <v>6.880573513837035E-2</v>
      </c>
      <c r="C392" s="52">
        <v>0.29289664236591056</v>
      </c>
      <c r="D392" s="52">
        <v>0.52521984255607579</v>
      </c>
      <c r="E392" s="52">
        <v>0.20563173104575952</v>
      </c>
      <c r="F392" s="52">
        <v>0.1075949480675107</v>
      </c>
      <c r="G392" s="52">
        <v>7.3131716362588806E-2</v>
      </c>
      <c r="H392" s="52">
        <v>0.10407627833149732</v>
      </c>
      <c r="I392" s="119">
        <v>463.88055508635352</v>
      </c>
    </row>
    <row r="393" spans="1:9" x14ac:dyDescent="0.3">
      <c r="A393" s="23">
        <v>375</v>
      </c>
      <c r="B393" s="52">
        <v>6.5022292266597628E-2</v>
      </c>
      <c r="C393" s="52">
        <v>0.2537220253790009</v>
      </c>
      <c r="D393" s="52">
        <v>0.46328563629405356</v>
      </c>
      <c r="E393" s="52">
        <v>0.17969637322993334</v>
      </c>
      <c r="F393" s="52">
        <v>0.1023024326345823</v>
      </c>
      <c r="G393" s="52">
        <v>4.8920280273405101E-2</v>
      </c>
      <c r="H393" s="52">
        <v>8.7074663965537841E-2</v>
      </c>
      <c r="I393" s="119">
        <v>120.27044190787714</v>
      </c>
    </row>
    <row r="394" spans="1:9" x14ac:dyDescent="0.3">
      <c r="A394" s="23">
        <v>376</v>
      </c>
      <c r="B394" s="52">
        <v>7.8575627168053774E-2</v>
      </c>
      <c r="C394" s="52">
        <v>0.26343698393642018</v>
      </c>
      <c r="D394" s="52">
        <v>0.51610377512128724</v>
      </c>
      <c r="E394" s="52">
        <v>0.176174886389454</v>
      </c>
      <c r="F394" s="52">
        <v>9.8006424709039225E-2</v>
      </c>
      <c r="G394" s="52">
        <v>5.2507303031883855E-2</v>
      </c>
      <c r="H394" s="52">
        <v>9.678793579782996E-2</v>
      </c>
      <c r="I394" s="119">
        <v>238.0892506404937</v>
      </c>
    </row>
    <row r="395" spans="1:9" x14ac:dyDescent="0.3">
      <c r="A395" s="23">
        <v>377</v>
      </c>
      <c r="B395" s="52">
        <v>6.7513350266864655E-2</v>
      </c>
      <c r="C395" s="52">
        <v>0.29123880360212168</v>
      </c>
      <c r="D395" s="52">
        <v>0.56912338605800328</v>
      </c>
      <c r="E395" s="52">
        <v>0.18273244164155172</v>
      </c>
      <c r="F395" s="52">
        <v>9.6175327663181265E-2</v>
      </c>
      <c r="G395" s="52">
        <v>5.672287176511339E-2</v>
      </c>
      <c r="H395" s="52">
        <v>0.11188609893469517</v>
      </c>
      <c r="I395" s="119">
        <v>399.51847920559055</v>
      </c>
    </row>
    <row r="396" spans="1:9" x14ac:dyDescent="0.3">
      <c r="A396" s="23">
        <v>378</v>
      </c>
      <c r="B396" s="52">
        <v>5.2628244205192395E-2</v>
      </c>
      <c r="C396" s="52">
        <v>0.30073323339099267</v>
      </c>
      <c r="D396" s="52">
        <v>0.6127927643177985</v>
      </c>
      <c r="E396" s="52">
        <v>0.20830858032747412</v>
      </c>
      <c r="F396" s="52">
        <v>9.5379157740683354E-2</v>
      </c>
      <c r="G396" s="52">
        <v>4.1390174367231303E-2</v>
      </c>
      <c r="H396" s="52">
        <v>0.10900497424269905</v>
      </c>
      <c r="I396" s="119">
        <v>250.34776393106881</v>
      </c>
    </row>
    <row r="397" spans="1:9" x14ac:dyDescent="0.3">
      <c r="A397" s="23">
        <v>379</v>
      </c>
      <c r="B397" s="52">
        <v>5.4241763304025865E-2</v>
      </c>
      <c r="C397" s="52">
        <v>0.2535602888081156</v>
      </c>
      <c r="D397" s="52">
        <v>0.48914874947133258</v>
      </c>
      <c r="E397" s="52">
        <v>0.17256106413079436</v>
      </c>
      <c r="F397" s="52">
        <v>9.2845786186362467E-2</v>
      </c>
      <c r="G397" s="52">
        <v>5.0910439521252376E-2</v>
      </c>
      <c r="H397" s="52">
        <v>8.789015571869889E-2</v>
      </c>
      <c r="I397" s="119">
        <v>201.54852115999893</v>
      </c>
    </row>
    <row r="398" spans="1:9" x14ac:dyDescent="0.3">
      <c r="A398" s="23">
        <v>380</v>
      </c>
      <c r="B398" s="52">
        <v>6.6583330041805028E-2</v>
      </c>
      <c r="C398" s="52">
        <v>0.29639796533767665</v>
      </c>
      <c r="D398" s="52">
        <v>0.5476880762912284</v>
      </c>
      <c r="E398" s="52">
        <v>0.21225098433677569</v>
      </c>
      <c r="F398" s="52">
        <v>9.5359071934282974E-2</v>
      </c>
      <c r="G398" s="52">
        <v>3.954925863203896E-2</v>
      </c>
      <c r="H398" s="52">
        <v>9.2023652617434004E-2</v>
      </c>
      <c r="I398" s="119">
        <v>249.21528155606245</v>
      </c>
    </row>
    <row r="399" spans="1:9" x14ac:dyDescent="0.3">
      <c r="A399" s="23">
        <v>381</v>
      </c>
      <c r="B399" s="52">
        <v>5.1811270688750959E-2</v>
      </c>
      <c r="C399" s="52">
        <v>0.27324832316766262</v>
      </c>
      <c r="D399" s="52">
        <v>0.47660237618406737</v>
      </c>
      <c r="E399" s="52">
        <v>0.18392253193029146</v>
      </c>
      <c r="F399" s="52">
        <v>9.5965829406453013E-2</v>
      </c>
      <c r="G399" s="52">
        <v>5.26458399814871E-2</v>
      </c>
      <c r="H399" s="52">
        <v>9.1017053401359987E-2</v>
      </c>
      <c r="I399" s="119">
        <v>250.98646050538969</v>
      </c>
    </row>
    <row r="400" spans="1:9" x14ac:dyDescent="0.3">
      <c r="A400" s="23">
        <v>382</v>
      </c>
      <c r="B400" s="52">
        <v>6.730195042430713E-2</v>
      </c>
      <c r="C400" s="52">
        <v>0.27866997962884688</v>
      </c>
      <c r="D400" s="52">
        <v>0.44758094311272623</v>
      </c>
      <c r="E400" s="52">
        <v>0.19142282999784116</v>
      </c>
      <c r="F400" s="52">
        <v>0.10033826269081605</v>
      </c>
      <c r="G400" s="52">
        <v>4.2278937592724997E-2</v>
      </c>
      <c r="H400" s="52">
        <v>0.10094089174245348</v>
      </c>
      <c r="I400" s="119">
        <v>174.0252079659671</v>
      </c>
    </row>
    <row r="401" spans="1:9" x14ac:dyDescent="0.3">
      <c r="A401" s="23">
        <v>383</v>
      </c>
      <c r="B401" s="52">
        <v>6.7583451743366857E-2</v>
      </c>
      <c r="C401" s="52">
        <v>0.27814414964418471</v>
      </c>
      <c r="D401" s="52">
        <v>0.51627926736991114</v>
      </c>
      <c r="E401" s="52">
        <v>0.20749002324475738</v>
      </c>
      <c r="F401" s="52">
        <v>0.10424238677897936</v>
      </c>
      <c r="G401" s="52">
        <v>4.772975408004286E-2</v>
      </c>
      <c r="H401" s="52">
        <v>0.10040892577113633</v>
      </c>
      <c r="I401" s="119">
        <v>176.70097941360933</v>
      </c>
    </row>
    <row r="402" spans="1:9" x14ac:dyDescent="0.3">
      <c r="A402" s="23">
        <v>384</v>
      </c>
      <c r="B402" s="52">
        <v>6.2281851630327775E-2</v>
      </c>
      <c r="C402" s="52">
        <v>0.29065782049830391</v>
      </c>
      <c r="D402" s="52">
        <v>0.51511899645961445</v>
      </c>
      <c r="E402" s="52">
        <v>0.19349648617988829</v>
      </c>
      <c r="F402" s="52">
        <v>8.2437601877073552E-2</v>
      </c>
      <c r="G402" s="52">
        <v>4.6170493653802977E-2</v>
      </c>
      <c r="H402" s="52">
        <v>9.9675838540509556E-2</v>
      </c>
      <c r="I402" s="119">
        <v>466.89047064358437</v>
      </c>
    </row>
    <row r="403" spans="1:9" x14ac:dyDescent="0.3">
      <c r="A403" s="23">
        <v>385</v>
      </c>
      <c r="B403" s="52">
        <v>5.610511220844111E-2</v>
      </c>
      <c r="C403" s="52">
        <v>0.29957062982362015</v>
      </c>
      <c r="D403" s="52">
        <v>0.5986372713052116</v>
      </c>
      <c r="E403" s="52">
        <v>0.17667299477915982</v>
      </c>
      <c r="F403" s="52">
        <v>0.10377848580232969</v>
      </c>
      <c r="G403" s="52">
        <v>6.8983104849249188E-2</v>
      </c>
      <c r="H403" s="52">
        <v>9.4556851486669452E-2</v>
      </c>
      <c r="I403" s="119">
        <v>462.21366543444498</v>
      </c>
    </row>
    <row r="404" spans="1:9" x14ac:dyDescent="0.3">
      <c r="A404" s="23">
        <v>386</v>
      </c>
      <c r="B404" s="52">
        <v>7.3158910727316132E-2</v>
      </c>
      <c r="C404" s="52">
        <v>0.30217057583309925</v>
      </c>
      <c r="D404" s="52">
        <v>0.68417812984977966</v>
      </c>
      <c r="E404" s="52">
        <v>0.17716331851929573</v>
      </c>
      <c r="F404" s="52">
        <v>9.179135719716558E-2</v>
      </c>
      <c r="G404" s="52">
        <v>5.8468717907748692E-2</v>
      </c>
      <c r="H404" s="52">
        <v>0.10416045496292167</v>
      </c>
      <c r="I404" s="119">
        <v>586.54879134451551</v>
      </c>
    </row>
    <row r="405" spans="1:9" x14ac:dyDescent="0.3">
      <c r="A405" s="23">
        <v>387</v>
      </c>
      <c r="B405" s="52">
        <v>5.7203538486051649E-2</v>
      </c>
      <c r="C405" s="52">
        <v>0.2662996465548349</v>
      </c>
      <c r="D405" s="52">
        <v>0.56460255354879441</v>
      </c>
      <c r="E405" s="52">
        <v>0.17828278918972354</v>
      </c>
      <c r="F405" s="52">
        <v>0.10101939385955208</v>
      </c>
      <c r="G405" s="52">
        <v>4.8403678499999325E-2</v>
      </c>
      <c r="H405" s="52">
        <v>0.11615167401745533</v>
      </c>
      <c r="I405" s="119">
        <v>154.77644408151397</v>
      </c>
    </row>
    <row r="406" spans="1:9" x14ac:dyDescent="0.3">
      <c r="A406" s="23">
        <v>388</v>
      </c>
      <c r="B406" s="52">
        <v>6.0828781617919173E-2</v>
      </c>
      <c r="C406" s="52">
        <v>0.27586418039778982</v>
      </c>
      <c r="D406" s="52">
        <v>0.45499457745610195</v>
      </c>
      <c r="E406" s="52">
        <v>0.20318160103216509</v>
      </c>
      <c r="F406" s="52">
        <v>0.10287222167080827</v>
      </c>
      <c r="G406" s="52">
        <v>4.0117032604803773E-2</v>
      </c>
      <c r="H406" s="52">
        <v>0.10932520178029223</v>
      </c>
      <c r="I406" s="119">
        <v>128.1008309201687</v>
      </c>
    </row>
    <row r="407" spans="1:9" x14ac:dyDescent="0.3">
      <c r="A407" s="23">
        <v>389</v>
      </c>
      <c r="B407" s="52">
        <v>5.7912015748841326E-2</v>
      </c>
      <c r="C407" s="52">
        <v>0.28003758150609837</v>
      </c>
      <c r="D407" s="52">
        <v>0.49033071067899386</v>
      </c>
      <c r="E407" s="52">
        <v>0.18194041146776341</v>
      </c>
      <c r="F407" s="52">
        <v>9.6023200399036224E-2</v>
      </c>
      <c r="G407" s="52">
        <v>4.1290501253261377E-2</v>
      </c>
      <c r="H407" s="52">
        <v>0.11111781415474931</v>
      </c>
      <c r="I407" s="119">
        <v>190.94497519274165</v>
      </c>
    </row>
    <row r="408" spans="1:9" x14ac:dyDescent="0.3">
      <c r="A408" s="23">
        <v>390</v>
      </c>
      <c r="B408" s="52">
        <v>5.4911353734369263E-2</v>
      </c>
      <c r="C408" s="52">
        <v>0.30173992409123324</v>
      </c>
      <c r="D408" s="52">
        <v>0.43489926974243054</v>
      </c>
      <c r="E408" s="52">
        <v>0.199544260276868</v>
      </c>
      <c r="F408" s="52">
        <v>0.103210321801337</v>
      </c>
      <c r="G408" s="52">
        <v>3.6034976120341705E-2</v>
      </c>
      <c r="H408" s="52">
        <v>8.4967132027274572E-2</v>
      </c>
      <c r="I408" s="119">
        <v>164.06580967102892</v>
      </c>
    </row>
    <row r="409" spans="1:9" x14ac:dyDescent="0.3">
      <c r="A409" s="23">
        <v>391</v>
      </c>
      <c r="B409" s="52">
        <v>6.4484210034741807E-2</v>
      </c>
      <c r="C409" s="52">
        <v>0.28089581061481445</v>
      </c>
      <c r="D409" s="52">
        <v>0.68420408642399277</v>
      </c>
      <c r="E409" s="52">
        <v>0.17282803486844994</v>
      </c>
      <c r="F409" s="52">
        <v>9.8885209908856728E-2</v>
      </c>
      <c r="G409" s="52">
        <v>3.4260306511350001E-2</v>
      </c>
      <c r="H409" s="52">
        <v>0.10942178622807477</v>
      </c>
      <c r="I409" s="119">
        <v>142.65337898716248</v>
      </c>
    </row>
    <row r="410" spans="1:9" x14ac:dyDescent="0.3">
      <c r="A410" s="23">
        <v>392</v>
      </c>
      <c r="B410" s="52">
        <v>7.9838051896318207E-2</v>
      </c>
      <c r="C410" s="52">
        <v>0.27888193481174572</v>
      </c>
      <c r="D410" s="52">
        <v>0.43753988559192819</v>
      </c>
      <c r="E410" s="52">
        <v>0.2094176729109172</v>
      </c>
      <c r="F410" s="52">
        <v>0.10191997887125148</v>
      </c>
      <c r="G410" s="52">
        <v>6.3000570909940046E-2</v>
      </c>
      <c r="H410" s="52">
        <v>9.6489161794478112E-2</v>
      </c>
      <c r="I410" s="119">
        <v>370.91105885517135</v>
      </c>
    </row>
    <row r="411" spans="1:9" x14ac:dyDescent="0.3">
      <c r="A411" s="23">
        <v>393</v>
      </c>
      <c r="B411" s="52">
        <v>7.2187777315456475E-2</v>
      </c>
      <c r="C411" s="52">
        <v>0.28088040134696746</v>
      </c>
      <c r="D411" s="52">
        <v>0.70097666109358203</v>
      </c>
      <c r="E411" s="52">
        <v>0.17051320342107687</v>
      </c>
      <c r="F411" s="52">
        <v>9.8947426686882334E-2</v>
      </c>
      <c r="G411" s="52">
        <v>5.5358518634195469E-2</v>
      </c>
      <c r="H411" s="52">
        <v>0.1178461470962231</v>
      </c>
      <c r="I411" s="119">
        <v>310.56132144305502</v>
      </c>
    </row>
    <row r="412" spans="1:9" x14ac:dyDescent="0.3">
      <c r="A412" s="23">
        <v>394</v>
      </c>
      <c r="B412" s="52">
        <v>5.777488838889365E-2</v>
      </c>
      <c r="C412" s="52">
        <v>0.25337897005303633</v>
      </c>
      <c r="D412" s="52">
        <v>0.5583832586088664</v>
      </c>
      <c r="E412" s="52">
        <v>0.18577943087804985</v>
      </c>
      <c r="F412" s="52">
        <v>9.9610869747557798E-2</v>
      </c>
      <c r="G412" s="52">
        <v>5.9944589665474668E-2</v>
      </c>
      <c r="H412" s="52">
        <v>0.11104934400966321</v>
      </c>
      <c r="I412" s="119">
        <v>217.9728908102806</v>
      </c>
    </row>
    <row r="413" spans="1:9" x14ac:dyDescent="0.3">
      <c r="A413" s="23">
        <v>395</v>
      </c>
      <c r="B413" s="52">
        <v>7.1436461730849513E-2</v>
      </c>
      <c r="C413" s="52">
        <v>0.28295831657955239</v>
      </c>
      <c r="D413" s="52">
        <v>0.70853589088988511</v>
      </c>
      <c r="E413" s="52">
        <v>0.19785405609348111</v>
      </c>
      <c r="F413" s="52">
        <v>0.10469452208242334</v>
      </c>
      <c r="G413" s="52">
        <v>6.3453015485163786E-2</v>
      </c>
      <c r="H413" s="52">
        <v>0.11326553507485301</v>
      </c>
      <c r="I413" s="119">
        <v>333.07069408542276</v>
      </c>
    </row>
    <row r="414" spans="1:9" x14ac:dyDescent="0.3">
      <c r="A414" s="23">
        <v>396</v>
      </c>
      <c r="B414" s="52">
        <v>6.4178100541872354E-2</v>
      </c>
      <c r="C414" s="52">
        <v>0.29742088438415931</v>
      </c>
      <c r="D414" s="52">
        <v>0.58444885999632978</v>
      </c>
      <c r="E414" s="52">
        <v>0.20464781986009123</v>
      </c>
      <c r="F414" s="52">
        <v>8.5909786064332389E-2</v>
      </c>
      <c r="G414" s="52">
        <v>5.5934277578829711E-2</v>
      </c>
      <c r="H414" s="52">
        <v>0.11188850669144364</v>
      </c>
      <c r="I414" s="119">
        <v>631.67791726178291</v>
      </c>
    </row>
    <row r="415" spans="1:9" x14ac:dyDescent="0.3">
      <c r="A415" s="23">
        <v>397</v>
      </c>
      <c r="B415" s="52">
        <v>5.835472283437184E-2</v>
      </c>
      <c r="C415" s="52">
        <v>0.30123072170890663</v>
      </c>
      <c r="D415" s="52">
        <v>0.73893484378138397</v>
      </c>
      <c r="E415" s="52">
        <v>0.20280639493110131</v>
      </c>
      <c r="F415" s="52">
        <v>9.6954343797054601E-2</v>
      </c>
      <c r="G415" s="52">
        <v>5.5759473606765073E-2</v>
      </c>
      <c r="H415" s="52">
        <v>8.9024054962459229E-2</v>
      </c>
      <c r="I415" s="119">
        <v>391.12170950584471</v>
      </c>
    </row>
    <row r="416" spans="1:9" x14ac:dyDescent="0.3">
      <c r="A416" s="23">
        <v>398</v>
      </c>
      <c r="B416" s="52">
        <v>6.2823379499668375E-2</v>
      </c>
      <c r="C416" s="52">
        <v>0.27447005119064699</v>
      </c>
      <c r="D416" s="52">
        <v>0.54277664061743802</v>
      </c>
      <c r="E416" s="52">
        <v>0.15582098883015819</v>
      </c>
      <c r="F416" s="52">
        <v>9.9111217462591633E-2</v>
      </c>
      <c r="G416" s="52">
        <v>2.9989010384029253E-2</v>
      </c>
      <c r="H416" s="52">
        <v>0.1202357352446119</v>
      </c>
      <c r="I416" s="119">
        <v>103.39839425912216</v>
      </c>
    </row>
    <row r="417" spans="1:9" x14ac:dyDescent="0.3">
      <c r="A417" s="23">
        <v>399</v>
      </c>
      <c r="B417" s="52">
        <v>6.1732202959385488E-2</v>
      </c>
      <c r="C417" s="52">
        <v>0.2994869035241764</v>
      </c>
      <c r="D417" s="52">
        <v>0.61797091832960038</v>
      </c>
      <c r="E417" s="52">
        <v>0.18912459206519217</v>
      </c>
      <c r="F417" s="52">
        <v>9.3405829772229998E-2</v>
      </c>
      <c r="G417" s="52">
        <v>3.9859749096265586E-2</v>
      </c>
      <c r="H417" s="52">
        <v>0.11080394508710974</v>
      </c>
      <c r="I417" s="119">
        <v>270.69341563682542</v>
      </c>
    </row>
    <row r="418" spans="1:9" x14ac:dyDescent="0.3">
      <c r="A418" s="23">
        <v>400</v>
      </c>
      <c r="B418" s="52">
        <v>6.4046450661025281E-2</v>
      </c>
      <c r="C418" s="52">
        <v>0.28770248537958498</v>
      </c>
      <c r="D418" s="52">
        <v>0.45014013424786914</v>
      </c>
      <c r="E418" s="52">
        <v>0.18489225374944604</v>
      </c>
      <c r="F418" s="52">
        <v>0.10046412182175793</v>
      </c>
      <c r="G418" s="52">
        <v>6.3200679536483451E-2</v>
      </c>
      <c r="H418" s="52">
        <v>0.1141296521199552</v>
      </c>
      <c r="I418" s="119">
        <v>399.00735750472279</v>
      </c>
    </row>
    <row r="419" spans="1:9" x14ac:dyDescent="0.3">
      <c r="A419" s="23">
        <v>401</v>
      </c>
      <c r="B419" s="52">
        <v>6.0127277614543034E-2</v>
      </c>
      <c r="C419" s="52">
        <v>0.2947140674912625</v>
      </c>
      <c r="D419" s="52">
        <v>0.5278655164136864</v>
      </c>
      <c r="E419" s="52">
        <v>0.21533780725862053</v>
      </c>
      <c r="F419" s="52">
        <v>0.10008995742928091</v>
      </c>
      <c r="G419" s="52">
        <v>6.0897572572750788E-2</v>
      </c>
      <c r="H419" s="52">
        <v>0.11329699559679571</v>
      </c>
      <c r="I419" s="119">
        <v>390.69549389436457</v>
      </c>
    </row>
    <row r="420" spans="1:9" x14ac:dyDescent="0.3">
      <c r="A420" s="23">
        <v>402</v>
      </c>
      <c r="B420" s="52">
        <v>5.859124865550705E-2</v>
      </c>
      <c r="C420" s="52">
        <v>0.28502697949285116</v>
      </c>
      <c r="D420" s="52">
        <v>0.60583933691420933</v>
      </c>
      <c r="E420" s="52">
        <v>0.19703082951918782</v>
      </c>
      <c r="F420" s="52">
        <v>0.10216464377770651</v>
      </c>
      <c r="G420" s="52">
        <v>3.6089809373061776E-2</v>
      </c>
      <c r="H420" s="52">
        <v>8.6353904552276886E-2</v>
      </c>
      <c r="I420" s="119">
        <v>134.11235891304699</v>
      </c>
    </row>
    <row r="421" spans="1:9" x14ac:dyDescent="0.3">
      <c r="A421" s="23">
        <v>403</v>
      </c>
      <c r="B421" s="52">
        <v>6.2825165479456241E-2</v>
      </c>
      <c r="C421" s="52">
        <v>0.28449718869212215</v>
      </c>
      <c r="D421" s="52">
        <v>0.4975539853271051</v>
      </c>
      <c r="E421" s="52">
        <v>0.20328586828355369</v>
      </c>
      <c r="F421" s="52">
        <v>0.10039734276100781</v>
      </c>
      <c r="G421" s="52">
        <v>4.115216195652973E-2</v>
      </c>
      <c r="H421" s="52">
        <v>0.11011609932817132</v>
      </c>
      <c r="I421" s="119">
        <v>176.95293088226066</v>
      </c>
    </row>
    <row r="422" spans="1:9" x14ac:dyDescent="0.3">
      <c r="A422" s="23">
        <v>404</v>
      </c>
      <c r="B422" s="52">
        <v>6.7109091848578467E-2</v>
      </c>
      <c r="C422" s="52">
        <v>0.30171402955978494</v>
      </c>
      <c r="D422" s="52">
        <v>0.67135364047605828</v>
      </c>
      <c r="E422" s="52">
        <v>0.18712941640057029</v>
      </c>
      <c r="F422" s="52">
        <v>9.0742934997095959E-2</v>
      </c>
      <c r="G422" s="52">
        <v>5.4232579929619301E-2</v>
      </c>
      <c r="H422" s="52">
        <v>8.8575834382460389E-2</v>
      </c>
      <c r="I422" s="119">
        <v>504.69085358620316</v>
      </c>
    </row>
    <row r="423" spans="1:9" x14ac:dyDescent="0.3">
      <c r="A423" s="23">
        <v>405</v>
      </c>
      <c r="B423" s="52">
        <v>6.4521311820081362E-2</v>
      </c>
      <c r="C423" s="52">
        <v>0.29724355465138735</v>
      </c>
      <c r="D423" s="52">
        <v>0.4956904505791857</v>
      </c>
      <c r="E423" s="52">
        <v>0.18830943638871117</v>
      </c>
      <c r="F423" s="52">
        <v>0.10252116069280008</v>
      </c>
      <c r="G423" s="52">
        <v>4.6913721779270126E-2</v>
      </c>
      <c r="H423" s="52">
        <v>0.12491280554006826</v>
      </c>
      <c r="I423" s="119">
        <v>237.48101477038983</v>
      </c>
    </row>
    <row r="424" spans="1:9" x14ac:dyDescent="0.3">
      <c r="A424" s="23">
        <v>406</v>
      </c>
      <c r="B424" s="52">
        <v>6.1463240651275099E-2</v>
      </c>
      <c r="C424" s="52">
        <v>0.25366221588381416</v>
      </c>
      <c r="D424" s="52">
        <v>0.63157949207773756</v>
      </c>
      <c r="E424" s="52">
        <v>0.20638886337576115</v>
      </c>
      <c r="F424" s="52">
        <v>8.077713793954118E-2</v>
      </c>
      <c r="G424" s="52">
        <v>5.8506708952108209E-2</v>
      </c>
      <c r="H424" s="52">
        <v>0.1278887537888875</v>
      </c>
      <c r="I424" s="119">
        <v>604.11259159306371</v>
      </c>
    </row>
    <row r="425" spans="1:9" x14ac:dyDescent="0.3">
      <c r="A425" s="23">
        <v>407</v>
      </c>
      <c r="B425" s="52">
        <v>6.2479103869709889E-2</v>
      </c>
      <c r="C425" s="52">
        <v>0.26293416853508306</v>
      </c>
      <c r="D425" s="52">
        <v>0.60399562327271805</v>
      </c>
      <c r="E425" s="52">
        <v>0.18801112838480324</v>
      </c>
      <c r="F425" s="52">
        <v>9.2363393625024701E-2</v>
      </c>
      <c r="G425" s="52">
        <v>5.0981308072339256E-2</v>
      </c>
      <c r="H425" s="52">
        <v>0.10808792180917411</v>
      </c>
      <c r="I425" s="119">
        <v>258.07169188050841</v>
      </c>
    </row>
    <row r="426" spans="1:9" x14ac:dyDescent="0.3">
      <c r="A426" s="23">
        <v>408</v>
      </c>
      <c r="B426" s="52">
        <v>6.9325747715048916E-2</v>
      </c>
      <c r="C426" s="52">
        <v>0.28665616626059032</v>
      </c>
      <c r="D426" s="52">
        <v>0.58397286863199183</v>
      </c>
      <c r="E426" s="52">
        <v>0.20254531552326038</v>
      </c>
      <c r="F426" s="52">
        <v>0.10390638057857811</v>
      </c>
      <c r="G426" s="52">
        <v>4.6396307972493812E-2</v>
      </c>
      <c r="H426" s="52">
        <v>0.11895112816232056</v>
      </c>
      <c r="I426" s="119">
        <v>198.91290934579408</v>
      </c>
    </row>
    <row r="427" spans="1:9" x14ac:dyDescent="0.3">
      <c r="A427" s="23">
        <v>409</v>
      </c>
      <c r="B427" s="52">
        <v>6.1761538469212895E-2</v>
      </c>
      <c r="C427" s="52">
        <v>0.27317202561241288</v>
      </c>
      <c r="D427" s="52">
        <v>0.43177911307246969</v>
      </c>
      <c r="E427" s="52">
        <v>0.1824957913874658</v>
      </c>
      <c r="F427" s="52">
        <v>7.8757797740555843E-2</v>
      </c>
      <c r="G427" s="52">
        <v>5.3094546980612528E-2</v>
      </c>
      <c r="H427" s="52">
        <v>9.0575479656963456E-2</v>
      </c>
      <c r="I427" s="119">
        <v>628.87611724516216</v>
      </c>
    </row>
    <row r="428" spans="1:9" x14ac:dyDescent="0.3">
      <c r="A428" s="23">
        <v>410</v>
      </c>
      <c r="B428" s="52">
        <v>6.3554865371967278E-2</v>
      </c>
      <c r="C428" s="52">
        <v>0.29503808924086716</v>
      </c>
      <c r="D428" s="52">
        <v>0.43815113561634167</v>
      </c>
      <c r="E428" s="52">
        <v>0.1993275163963085</v>
      </c>
      <c r="F428" s="52">
        <v>8.894460425406088E-2</v>
      </c>
      <c r="G428" s="52">
        <v>4.2718563937118363E-2</v>
      </c>
      <c r="H428" s="52">
        <v>0.10732710700595974</v>
      </c>
      <c r="I428" s="119">
        <v>336.35410755942883</v>
      </c>
    </row>
    <row r="429" spans="1:9" x14ac:dyDescent="0.3">
      <c r="A429" s="23">
        <v>411</v>
      </c>
      <c r="B429" s="52">
        <v>4.8695067471583725E-2</v>
      </c>
      <c r="C429" s="52">
        <v>0.28583646288897924</v>
      </c>
      <c r="D429" s="52">
        <v>0.44179605235860658</v>
      </c>
      <c r="E429" s="52">
        <v>0.20572340264136474</v>
      </c>
      <c r="F429" s="52">
        <v>0.10333807022215531</v>
      </c>
      <c r="G429" s="52">
        <v>7.3062170757951572E-2</v>
      </c>
      <c r="H429" s="52">
        <v>9.9970757966986859E-2</v>
      </c>
      <c r="I429" s="119">
        <v>469.84532039817748</v>
      </c>
    </row>
    <row r="430" spans="1:9" x14ac:dyDescent="0.3">
      <c r="A430" s="23">
        <v>412</v>
      </c>
      <c r="B430" s="52">
        <v>6.7456202470117244E-2</v>
      </c>
      <c r="C430" s="52">
        <v>0.26815682254321455</v>
      </c>
      <c r="D430" s="52">
        <v>0.55747772312253863</v>
      </c>
      <c r="E430" s="52">
        <v>0.18568422580598928</v>
      </c>
      <c r="F430" s="52">
        <v>9.1587732628668483E-2</v>
      </c>
      <c r="G430" s="52">
        <v>5.0071102721472915E-2</v>
      </c>
      <c r="H430" s="52">
        <v>0.11142936389726982</v>
      </c>
      <c r="I430" s="119">
        <v>288.23125281197088</v>
      </c>
    </row>
    <row r="431" spans="1:9" x14ac:dyDescent="0.3">
      <c r="A431" s="23">
        <v>413</v>
      </c>
      <c r="B431" s="52">
        <v>6.9697320756261838E-2</v>
      </c>
      <c r="C431" s="52">
        <v>0.27188218292304234</v>
      </c>
      <c r="D431" s="52">
        <v>0.52438934684074412</v>
      </c>
      <c r="E431" s="52">
        <v>0.18134978745031993</v>
      </c>
      <c r="F431" s="52">
        <v>9.6516755987226699E-2</v>
      </c>
      <c r="G431" s="52">
        <v>6.1065357145792303E-2</v>
      </c>
      <c r="H431" s="52">
        <v>8.4191442695249155E-2</v>
      </c>
      <c r="I431" s="119">
        <v>379.60955023823294</v>
      </c>
    </row>
    <row r="432" spans="1:9" x14ac:dyDescent="0.3">
      <c r="A432" s="23">
        <v>414</v>
      </c>
      <c r="B432" s="52">
        <v>7.3174190006066342E-2</v>
      </c>
      <c r="C432" s="52">
        <v>0.29266823865246372</v>
      </c>
      <c r="D432" s="52">
        <v>0.57259714535360229</v>
      </c>
      <c r="E432" s="52">
        <v>0.17758751127259356</v>
      </c>
      <c r="F432" s="52">
        <v>9.0312329573197722E-2</v>
      </c>
      <c r="G432" s="52">
        <v>4.9155984335991477E-2</v>
      </c>
      <c r="H432" s="52">
        <v>0.10975857769280867</v>
      </c>
      <c r="I432" s="119">
        <v>408.58837324930278</v>
      </c>
    </row>
    <row r="433" spans="1:9" x14ac:dyDescent="0.3">
      <c r="A433" s="23">
        <v>415</v>
      </c>
      <c r="B433" s="52">
        <v>8.0588893033260875E-2</v>
      </c>
      <c r="C433" s="52">
        <v>0.28913084446217657</v>
      </c>
      <c r="D433" s="52">
        <v>0.48890337495225006</v>
      </c>
      <c r="E433" s="52">
        <v>0.22049467968232372</v>
      </c>
      <c r="F433" s="52">
        <v>9.4111907697068037E-2</v>
      </c>
      <c r="G433" s="52">
        <v>5.0726505825870183E-2</v>
      </c>
      <c r="H433" s="52">
        <v>8.941098029113799E-2</v>
      </c>
      <c r="I433" s="119">
        <v>373.74339840575055</v>
      </c>
    </row>
    <row r="434" spans="1:9" x14ac:dyDescent="0.3">
      <c r="A434" s="23">
        <v>416</v>
      </c>
      <c r="B434" s="52">
        <v>6.8015728084208471E-2</v>
      </c>
      <c r="C434" s="52">
        <v>0.2836960872117178</v>
      </c>
      <c r="D434" s="52">
        <v>0.60900038892489805</v>
      </c>
      <c r="E434" s="52">
        <v>0.17656856053866821</v>
      </c>
      <c r="F434" s="52">
        <v>8.3658542770729691E-2</v>
      </c>
      <c r="G434" s="52">
        <v>5.1571197698954116E-2</v>
      </c>
      <c r="H434" s="52">
        <v>0.11517242209965807</v>
      </c>
      <c r="I434" s="119">
        <v>527.01494904863614</v>
      </c>
    </row>
    <row r="435" spans="1:9" x14ac:dyDescent="0.3">
      <c r="A435" s="23">
        <v>417</v>
      </c>
      <c r="B435" s="52">
        <v>6.0688771565685598E-2</v>
      </c>
      <c r="C435" s="52">
        <v>0.29412223133100246</v>
      </c>
      <c r="D435" s="52">
        <v>0.49115060758380708</v>
      </c>
      <c r="E435" s="52">
        <v>0.19659203953164323</v>
      </c>
      <c r="F435" s="52">
        <v>9.9633078237718622E-2</v>
      </c>
      <c r="G435" s="52">
        <v>3.3030208786204232E-2</v>
      </c>
      <c r="H435" s="52">
        <v>8.575471516927427E-2</v>
      </c>
      <c r="I435" s="119">
        <v>161.26297375344095</v>
      </c>
    </row>
    <row r="436" spans="1:9" x14ac:dyDescent="0.3">
      <c r="A436" s="23">
        <v>418</v>
      </c>
      <c r="B436" s="52">
        <v>6.2610096913003774E-2</v>
      </c>
      <c r="C436" s="52">
        <v>0.29669413597117122</v>
      </c>
      <c r="D436" s="52">
        <v>0.53009019589976525</v>
      </c>
      <c r="E436" s="52">
        <v>0.20616222857364486</v>
      </c>
      <c r="F436" s="52">
        <v>9.666769346221657E-2</v>
      </c>
      <c r="G436" s="52">
        <v>6.0315842267391645E-2</v>
      </c>
      <c r="H436" s="52">
        <v>9.4710003425845152E-2</v>
      </c>
      <c r="I436" s="119">
        <v>457.60676461945707</v>
      </c>
    </row>
    <row r="437" spans="1:9" x14ac:dyDescent="0.3">
      <c r="A437" s="23">
        <v>419</v>
      </c>
      <c r="B437" s="52">
        <v>7.8235879745605752E-2</v>
      </c>
      <c r="C437" s="52">
        <v>0.25830892674038608</v>
      </c>
      <c r="D437" s="52">
        <v>0.53518274388535958</v>
      </c>
      <c r="E437" s="52">
        <v>0.21184023449274539</v>
      </c>
      <c r="F437" s="52">
        <v>8.271520154712847E-2</v>
      </c>
      <c r="G437" s="52">
        <v>6.1154415907921852E-2</v>
      </c>
      <c r="H437" s="52">
        <v>0.10977073810777788</v>
      </c>
      <c r="I437" s="119">
        <v>715.71328853169155</v>
      </c>
    </row>
    <row r="438" spans="1:9" x14ac:dyDescent="0.3">
      <c r="A438" s="23">
        <v>420</v>
      </c>
      <c r="B438" s="52">
        <v>7.3289927602365565E-2</v>
      </c>
      <c r="C438" s="52">
        <v>0.29812254230341267</v>
      </c>
      <c r="D438" s="52">
        <v>0.50862644841616067</v>
      </c>
      <c r="E438" s="52">
        <v>0.19549089357077698</v>
      </c>
      <c r="F438" s="52">
        <v>9.6562114917477515E-2</v>
      </c>
      <c r="G438" s="52">
        <v>6.1551864495286199E-2</v>
      </c>
      <c r="H438" s="52">
        <v>0.1081406514971799</v>
      </c>
      <c r="I438" s="119">
        <v>518.64442279126263</v>
      </c>
    </row>
    <row r="439" spans="1:9" x14ac:dyDescent="0.3">
      <c r="A439" s="23">
        <v>421</v>
      </c>
      <c r="B439" s="52">
        <v>7.3249320319894451E-2</v>
      </c>
      <c r="C439" s="52">
        <v>0.28709358133177409</v>
      </c>
      <c r="D439" s="52">
        <v>0.49919722460146254</v>
      </c>
      <c r="E439" s="52">
        <v>0.18664274857241522</v>
      </c>
      <c r="F439" s="52">
        <v>0.10044924488203075</v>
      </c>
      <c r="G439" s="52">
        <v>4.7827043602590998E-2</v>
      </c>
      <c r="H439" s="52">
        <v>0.11506234140128702</v>
      </c>
      <c r="I439" s="119">
        <v>247.40287804480008</v>
      </c>
    </row>
    <row r="440" spans="1:9" x14ac:dyDescent="0.3">
      <c r="A440" s="23">
        <v>422</v>
      </c>
      <c r="B440" s="52">
        <v>6.9909925016078456E-2</v>
      </c>
      <c r="C440" s="52">
        <v>0.29008621033138166</v>
      </c>
      <c r="D440" s="52">
        <v>0.46970697000423961</v>
      </c>
      <c r="E440" s="52">
        <v>0.15526489405488619</v>
      </c>
      <c r="F440" s="52">
        <v>8.6098371670159504E-2</v>
      </c>
      <c r="G440" s="52">
        <v>5.790848751762679E-2</v>
      </c>
      <c r="H440" s="52">
        <v>0.11298949149185807</v>
      </c>
      <c r="I440" s="119">
        <v>659.17094738220078</v>
      </c>
    </row>
    <row r="441" spans="1:9" x14ac:dyDescent="0.3">
      <c r="A441" s="23">
        <v>423</v>
      </c>
      <c r="B441" s="52">
        <v>5.2855473805881896E-2</v>
      </c>
      <c r="C441" s="52">
        <v>0.2938152067508053</v>
      </c>
      <c r="D441" s="52">
        <v>0.61551085906977154</v>
      </c>
      <c r="E441" s="52">
        <v>0.18643365222209093</v>
      </c>
      <c r="F441" s="52">
        <v>8.681943898978782E-2</v>
      </c>
      <c r="G441" s="52">
        <v>6.1018498154269213E-2</v>
      </c>
      <c r="H441" s="52">
        <v>0.11607851319771202</v>
      </c>
      <c r="I441" s="119">
        <v>692.36265897269379</v>
      </c>
    </row>
    <row r="442" spans="1:9" x14ac:dyDescent="0.3">
      <c r="A442" s="23">
        <v>424</v>
      </c>
      <c r="B442" s="52">
        <v>6.5577009661450247E-2</v>
      </c>
      <c r="C442" s="52">
        <v>0.28716853727789698</v>
      </c>
      <c r="D442" s="52">
        <v>0.47744140299803284</v>
      </c>
      <c r="E442" s="52">
        <v>0.18556244180967613</v>
      </c>
      <c r="F442" s="52">
        <v>0.1037579402295972</v>
      </c>
      <c r="G442" s="52">
        <v>5.9677416759990644E-2</v>
      </c>
      <c r="H442" s="52">
        <v>9.613366015563321E-2</v>
      </c>
      <c r="I442" s="119">
        <v>305.8893837060823</v>
      </c>
    </row>
    <row r="443" spans="1:9" x14ac:dyDescent="0.3">
      <c r="A443" s="23">
        <v>425</v>
      </c>
      <c r="B443" s="52">
        <v>5.6283678043828764E-2</v>
      </c>
      <c r="C443" s="52">
        <v>0.29538155334302629</v>
      </c>
      <c r="D443" s="52">
        <v>0.55840042507625387</v>
      </c>
      <c r="E443" s="52">
        <v>0.19195450983839438</v>
      </c>
      <c r="F443" s="52">
        <v>9.7358622252024338E-2</v>
      </c>
      <c r="G443" s="52">
        <v>5.6181839570138226E-2</v>
      </c>
      <c r="H443" s="52">
        <v>0.11312070217548842</v>
      </c>
      <c r="I443" s="119">
        <v>363.30164876804588</v>
      </c>
    </row>
    <row r="444" spans="1:9" x14ac:dyDescent="0.3">
      <c r="A444" s="23">
        <v>426</v>
      </c>
      <c r="B444" s="52">
        <v>7.1648210510456806E-2</v>
      </c>
      <c r="C444" s="52">
        <v>0.2444146155033052</v>
      </c>
      <c r="D444" s="52">
        <v>0.59627130344456247</v>
      </c>
      <c r="E444" s="52">
        <v>0.19930718860892169</v>
      </c>
      <c r="F444" s="52">
        <v>0.10328752028007933</v>
      </c>
      <c r="G444" s="52">
        <v>6.0148340778954375E-2</v>
      </c>
      <c r="H444" s="52">
        <v>0.10431040243068787</v>
      </c>
      <c r="I444" s="119">
        <v>167.00797636254597</v>
      </c>
    </row>
    <row r="445" spans="1:9" x14ac:dyDescent="0.3">
      <c r="A445" s="23">
        <v>427</v>
      </c>
      <c r="B445" s="52">
        <v>5.5395035116670106E-2</v>
      </c>
      <c r="C445" s="52">
        <v>0.29561695931364607</v>
      </c>
      <c r="D445" s="52">
        <v>0.53141015227698896</v>
      </c>
      <c r="E445" s="52">
        <v>0.20735529528906729</v>
      </c>
      <c r="F445" s="52">
        <v>9.2821339277596504E-2</v>
      </c>
      <c r="G445" s="52">
        <v>3.2504635498494194E-2</v>
      </c>
      <c r="H445" s="52">
        <v>0.11864430537837535</v>
      </c>
      <c r="I445" s="119">
        <v>201.36733038698782</v>
      </c>
    </row>
    <row r="446" spans="1:9" x14ac:dyDescent="0.3">
      <c r="A446" s="23">
        <v>428</v>
      </c>
      <c r="B446" s="52">
        <v>5.3128192501732979E-2</v>
      </c>
      <c r="C446" s="52">
        <v>0.27181273815840534</v>
      </c>
      <c r="D446" s="52">
        <v>0.63820981574492275</v>
      </c>
      <c r="E446" s="52">
        <v>0.18026676327131141</v>
      </c>
      <c r="F446" s="52">
        <v>7.9572148931300032E-2</v>
      </c>
      <c r="G446" s="52">
        <v>4.5936191033103646E-2</v>
      </c>
      <c r="H446" s="52">
        <v>9.9343116694737277E-2</v>
      </c>
      <c r="I446" s="119">
        <v>408.32011830189265</v>
      </c>
    </row>
    <row r="447" spans="1:9" x14ac:dyDescent="0.3">
      <c r="A447" s="23">
        <v>429</v>
      </c>
      <c r="B447" s="52">
        <v>7.1026266726715359E-2</v>
      </c>
      <c r="C447" s="52">
        <v>0.29938612089116906</v>
      </c>
      <c r="D447" s="52">
        <v>0.52486251701854914</v>
      </c>
      <c r="E447" s="52">
        <v>0.18525086024082518</v>
      </c>
      <c r="F447" s="52">
        <v>9.8226369107855815E-2</v>
      </c>
      <c r="G447" s="52">
        <v>4.6694418966143979E-2</v>
      </c>
      <c r="H447" s="52">
        <v>0.10942879816982931</v>
      </c>
      <c r="I447" s="119">
        <v>296.92484575128191</v>
      </c>
    </row>
    <row r="448" spans="1:9" x14ac:dyDescent="0.3">
      <c r="A448" s="23">
        <v>430</v>
      </c>
      <c r="B448" s="52">
        <v>5.561332978616005E-2</v>
      </c>
      <c r="C448" s="52">
        <v>0.30229694739527285</v>
      </c>
      <c r="D448" s="52">
        <v>0.48009969017745419</v>
      </c>
      <c r="E448" s="52">
        <v>0.21396653441356933</v>
      </c>
      <c r="F448" s="52">
        <v>9.6100590569559233E-2</v>
      </c>
      <c r="G448" s="52">
        <v>5.2511941585132671E-2</v>
      </c>
      <c r="H448" s="52">
        <v>0.11273097024093418</v>
      </c>
      <c r="I448" s="119">
        <v>360.05691289911078</v>
      </c>
    </row>
    <row r="449" spans="1:9" x14ac:dyDescent="0.3">
      <c r="A449" s="23">
        <v>431</v>
      </c>
      <c r="B449" s="52">
        <v>5.013913651656611E-2</v>
      </c>
      <c r="C449" s="52">
        <v>0.28032546930628366</v>
      </c>
      <c r="D449" s="52">
        <v>0.48611807108652988</v>
      </c>
      <c r="E449" s="52">
        <v>0.18139830697355377</v>
      </c>
      <c r="F449" s="52">
        <v>0.10203726539879675</v>
      </c>
      <c r="G449" s="52">
        <v>5.1088087345565136E-2</v>
      </c>
      <c r="H449" s="52">
        <v>0.10873683670595818</v>
      </c>
      <c r="I449" s="119">
        <v>196.56549329429944</v>
      </c>
    </row>
    <row r="450" spans="1:9" x14ac:dyDescent="0.3">
      <c r="A450" s="23">
        <v>432</v>
      </c>
      <c r="B450" s="52">
        <v>7.1869686336812538E-2</v>
      </c>
      <c r="C450" s="52">
        <v>0.28319564015685866</v>
      </c>
      <c r="D450" s="52">
        <v>0.47511600261172421</v>
      </c>
      <c r="E450" s="52">
        <v>0.1864708708342602</v>
      </c>
      <c r="F450" s="52">
        <v>8.8488627052779059E-2</v>
      </c>
      <c r="G450" s="52">
        <v>5.8133035498973848E-2</v>
      </c>
      <c r="H450" s="52">
        <v>9.6616682961292111E-2</v>
      </c>
      <c r="I450" s="119">
        <v>561.77738724917265</v>
      </c>
    </row>
    <row r="451" spans="1:9" x14ac:dyDescent="0.3">
      <c r="A451" s="23">
        <v>433</v>
      </c>
      <c r="B451" s="52">
        <v>6.3373561277814461E-2</v>
      </c>
      <c r="C451" s="52">
        <v>0.28330146471993778</v>
      </c>
      <c r="D451" s="52">
        <v>0.54392405853595738</v>
      </c>
      <c r="E451" s="52">
        <v>0.1863673665344899</v>
      </c>
      <c r="F451" s="52">
        <v>0.10419040422613693</v>
      </c>
      <c r="G451" s="52">
        <v>4.1052943581463497E-2</v>
      </c>
      <c r="H451" s="52">
        <v>0.10855398362324609</v>
      </c>
      <c r="I451" s="119">
        <v>147.87021160525484</v>
      </c>
    </row>
    <row r="452" spans="1:9" x14ac:dyDescent="0.3">
      <c r="A452" s="23">
        <v>434</v>
      </c>
      <c r="B452" s="52">
        <v>6.8694527913876841E-2</v>
      </c>
      <c r="C452" s="52">
        <v>0.3114681042266394</v>
      </c>
      <c r="D452" s="52">
        <v>0.52687907509117826</v>
      </c>
      <c r="E452" s="52">
        <v>0.2229611397035578</v>
      </c>
      <c r="F452" s="52">
        <v>9.8736711593397919E-2</v>
      </c>
      <c r="G452" s="52">
        <v>6.3084711078545908E-2</v>
      </c>
      <c r="H452" s="52">
        <v>7.9398900847712242E-2</v>
      </c>
      <c r="I452" s="119">
        <v>547.95876695011259</v>
      </c>
    </row>
    <row r="453" spans="1:9" x14ac:dyDescent="0.3">
      <c r="A453" s="23">
        <v>435</v>
      </c>
      <c r="B453" s="52">
        <v>7.0309739646606417E-2</v>
      </c>
      <c r="C453" s="52">
        <v>0.30123208003514901</v>
      </c>
      <c r="D453" s="52">
        <v>0.46267866172463518</v>
      </c>
      <c r="E453" s="52">
        <v>0.17384535855942726</v>
      </c>
      <c r="F453" s="52">
        <v>9.2795813335993585E-2</v>
      </c>
      <c r="G453" s="52">
        <v>4.4979928645937271E-2</v>
      </c>
      <c r="H453" s="52">
        <v>0.1175422241141631</v>
      </c>
      <c r="I453" s="119">
        <v>348.7078955105506</v>
      </c>
    </row>
    <row r="454" spans="1:9" x14ac:dyDescent="0.3">
      <c r="A454" s="23">
        <v>436</v>
      </c>
      <c r="B454" s="52">
        <v>7.9356133200729151E-2</v>
      </c>
      <c r="C454" s="52">
        <v>0.30714861601437304</v>
      </c>
      <c r="D454" s="52">
        <v>0.49314056494461533</v>
      </c>
      <c r="E454" s="52">
        <v>0.19425925602094243</v>
      </c>
      <c r="F454" s="52">
        <v>0.10277882118353232</v>
      </c>
      <c r="G454" s="52">
        <v>4.0541155917281385E-2</v>
      </c>
      <c r="H454" s="52">
        <v>9.4360840010039845E-2</v>
      </c>
      <c r="I454" s="119">
        <v>247.44624662906742</v>
      </c>
    </row>
    <row r="455" spans="1:9" x14ac:dyDescent="0.3">
      <c r="A455" s="23">
        <v>437</v>
      </c>
      <c r="B455" s="52">
        <v>7.1121517274784884E-2</v>
      </c>
      <c r="C455" s="52">
        <v>0.30251669868889652</v>
      </c>
      <c r="D455" s="52">
        <v>0.64234419326099246</v>
      </c>
      <c r="E455" s="52">
        <v>0.17792653087319488</v>
      </c>
      <c r="F455" s="52">
        <v>9.4677823833424574E-2</v>
      </c>
      <c r="G455" s="52">
        <v>5.727840071880784E-2</v>
      </c>
      <c r="H455" s="52">
        <v>0.10303114363801036</v>
      </c>
      <c r="I455" s="119">
        <v>493.50000745721343</v>
      </c>
    </row>
    <row r="456" spans="1:9" x14ac:dyDescent="0.3">
      <c r="A456" s="23">
        <v>438</v>
      </c>
      <c r="B456" s="52">
        <v>5.3157417550674199E-2</v>
      </c>
      <c r="C456" s="52">
        <v>0.29105302092988167</v>
      </c>
      <c r="D456" s="52">
        <v>0.46259937625038844</v>
      </c>
      <c r="E456" s="52">
        <v>0.17857110445656807</v>
      </c>
      <c r="F456" s="52">
        <v>9.5051559467459135E-2</v>
      </c>
      <c r="G456" s="52">
        <v>4.3460117131970274E-2</v>
      </c>
      <c r="H456" s="52">
        <v>0.11445697753610055</v>
      </c>
      <c r="I456" s="119">
        <v>241.05110001915685</v>
      </c>
    </row>
    <row r="457" spans="1:9" x14ac:dyDescent="0.3">
      <c r="A457" s="23">
        <v>439</v>
      </c>
      <c r="B457" s="52">
        <v>5.5917439334863171E-2</v>
      </c>
      <c r="C457" s="52">
        <v>0.29514078639245594</v>
      </c>
      <c r="D457" s="52">
        <v>0.51518273570350015</v>
      </c>
      <c r="E457" s="52">
        <v>0.18211337223605431</v>
      </c>
      <c r="F457" s="52">
        <v>0.10143188992619699</v>
      </c>
      <c r="G457" s="52">
        <v>5.8275889024669174E-2</v>
      </c>
      <c r="H457" s="52">
        <v>9.656218762975026E-2</v>
      </c>
      <c r="I457" s="119">
        <v>329.12639273563042</v>
      </c>
    </row>
    <row r="458" spans="1:9" x14ac:dyDescent="0.3">
      <c r="A458" s="23">
        <v>440</v>
      </c>
      <c r="B458" s="52">
        <v>6.4492328816742245E-2</v>
      </c>
      <c r="C458" s="52">
        <v>0.29770975763461011</v>
      </c>
      <c r="D458" s="52">
        <v>0.6338882826748613</v>
      </c>
      <c r="E458" s="52">
        <v>0.19738513509456052</v>
      </c>
      <c r="F458" s="52">
        <v>0.10092209060791771</v>
      </c>
      <c r="G458" s="52">
        <v>5.5847818998528864E-2</v>
      </c>
      <c r="H458" s="52">
        <v>9.3585023631980999E-2</v>
      </c>
      <c r="I458" s="119">
        <v>336.38112840583426</v>
      </c>
    </row>
    <row r="459" spans="1:9" x14ac:dyDescent="0.3">
      <c r="A459" s="23">
        <v>441</v>
      </c>
      <c r="B459" s="52">
        <v>6.1112095347134521E-2</v>
      </c>
      <c r="C459" s="52">
        <v>0.27570027623627519</v>
      </c>
      <c r="D459" s="52">
        <v>0.54935161766284435</v>
      </c>
      <c r="E459" s="52">
        <v>0.18116843810818761</v>
      </c>
      <c r="F459" s="52">
        <v>9.2716942560143706E-2</v>
      </c>
      <c r="G459" s="52">
        <v>4.6914610914628528E-2</v>
      </c>
      <c r="H459" s="52">
        <v>0.12015031794383664</v>
      </c>
      <c r="I459" s="119">
        <v>258.56881866461987</v>
      </c>
    </row>
    <row r="460" spans="1:9" x14ac:dyDescent="0.3">
      <c r="A460" s="23">
        <v>442</v>
      </c>
      <c r="B460" s="52">
        <v>5.3328130955680272E-2</v>
      </c>
      <c r="C460" s="52">
        <v>0.29210308744130337</v>
      </c>
      <c r="D460" s="52">
        <v>0.46501376148975804</v>
      </c>
      <c r="E460" s="52">
        <v>0.22264348027312111</v>
      </c>
      <c r="F460" s="52">
        <v>0.10387381765345793</v>
      </c>
      <c r="G460" s="52">
        <v>5.2371795711867418E-2</v>
      </c>
      <c r="H460" s="52">
        <v>0.10965029790692309</v>
      </c>
      <c r="I460" s="119">
        <v>230.62395341164196</v>
      </c>
    </row>
    <row r="461" spans="1:9" x14ac:dyDescent="0.3">
      <c r="A461" s="23">
        <v>443</v>
      </c>
      <c r="B461" s="52">
        <v>5.9268616594680093E-2</v>
      </c>
      <c r="C461" s="52">
        <v>0.29667770564900919</v>
      </c>
      <c r="D461" s="52">
        <v>0.44799509700564072</v>
      </c>
      <c r="E461" s="52">
        <v>0.2061796527503989</v>
      </c>
      <c r="F461" s="52">
        <v>0.10047259549712248</v>
      </c>
      <c r="G461" s="52">
        <v>5.1631318773324331E-2</v>
      </c>
      <c r="H461" s="52">
        <v>0.10724939259662826</v>
      </c>
      <c r="I461" s="119">
        <v>284.65973911830309</v>
      </c>
    </row>
    <row r="462" spans="1:9" x14ac:dyDescent="0.3">
      <c r="A462" s="23">
        <v>444</v>
      </c>
      <c r="B462" s="52">
        <v>6.6788025712559457E-2</v>
      </c>
      <c r="C462" s="52">
        <v>0.28458138792013687</v>
      </c>
      <c r="D462" s="52">
        <v>0.60327415576560883</v>
      </c>
      <c r="E462" s="52">
        <v>0.19013937377646148</v>
      </c>
      <c r="F462" s="52">
        <v>0.10283508555730476</v>
      </c>
      <c r="G462" s="52">
        <v>7.7737119684087141E-2</v>
      </c>
      <c r="H462" s="52">
        <v>0.11865378064789261</v>
      </c>
      <c r="I462" s="119">
        <v>657.93610674085528</v>
      </c>
    </row>
    <row r="463" spans="1:9" x14ac:dyDescent="0.3">
      <c r="A463" s="23">
        <v>445</v>
      </c>
      <c r="B463" s="52">
        <v>4.6265513514081584E-2</v>
      </c>
      <c r="C463" s="52">
        <v>0.28716238345967204</v>
      </c>
      <c r="D463" s="52">
        <v>0.4753591296996309</v>
      </c>
      <c r="E463" s="52">
        <v>0.16472701784954447</v>
      </c>
      <c r="F463" s="52">
        <v>9.1685039811995744E-2</v>
      </c>
      <c r="G463" s="52">
        <v>4.8275807880983221E-2</v>
      </c>
      <c r="H463" s="52">
        <v>0.10902855580672946</v>
      </c>
      <c r="I463" s="119">
        <v>296.50715106569157</v>
      </c>
    </row>
    <row r="464" spans="1:9" x14ac:dyDescent="0.3">
      <c r="A464" s="23">
        <v>446</v>
      </c>
      <c r="B464" s="52">
        <v>5.273230353856169E-2</v>
      </c>
      <c r="C464" s="52">
        <v>0.27208587598547718</v>
      </c>
      <c r="D464" s="52">
        <v>0.50937046935969543</v>
      </c>
      <c r="E464" s="52">
        <v>0.21570988954691253</v>
      </c>
      <c r="F464" s="52">
        <v>9.4167188547107358E-2</v>
      </c>
      <c r="G464" s="52">
        <v>3.8664703446471368E-2</v>
      </c>
      <c r="H464" s="52">
        <v>9.9225751036406309E-2</v>
      </c>
      <c r="I464" s="119">
        <v>157.17101295100872</v>
      </c>
    </row>
    <row r="465" spans="1:9" x14ac:dyDescent="0.3">
      <c r="A465" s="23">
        <v>447</v>
      </c>
      <c r="B465" s="52">
        <v>7.0656616112120166E-2</v>
      </c>
      <c r="C465" s="52">
        <v>0.27513314864670024</v>
      </c>
      <c r="D465" s="52">
        <v>0.44358227280785528</v>
      </c>
      <c r="E465" s="52">
        <v>0.19936475127662148</v>
      </c>
      <c r="F465" s="52">
        <v>8.1687515013009526E-2</v>
      </c>
      <c r="G465" s="52">
        <v>4.8037305002494521E-2</v>
      </c>
      <c r="H465" s="52">
        <v>0.11216756279777459</v>
      </c>
      <c r="I465" s="119">
        <v>463.86866359114305</v>
      </c>
    </row>
    <row r="466" spans="1:9" x14ac:dyDescent="0.3">
      <c r="A466" s="23">
        <v>448</v>
      </c>
      <c r="B466" s="52">
        <v>7.8484854379661365E-2</v>
      </c>
      <c r="C466" s="52">
        <v>0.2891690904559745</v>
      </c>
      <c r="D466" s="52">
        <v>0.51817141230983221</v>
      </c>
      <c r="E466" s="52">
        <v>0.20246532299892728</v>
      </c>
      <c r="F466" s="52">
        <v>9.7822646668873206E-2</v>
      </c>
      <c r="G466" s="52">
        <v>4.1147161105492214E-2</v>
      </c>
      <c r="H466" s="52">
        <v>9.6315872508993164E-2</v>
      </c>
      <c r="I466" s="119">
        <v>237.40247054051349</v>
      </c>
    </row>
    <row r="467" spans="1:9" x14ac:dyDescent="0.3">
      <c r="A467" s="23">
        <v>449</v>
      </c>
      <c r="B467" s="52">
        <v>5.4564499523139048E-2</v>
      </c>
      <c r="C467" s="52">
        <v>0.27478299216425306</v>
      </c>
      <c r="D467" s="52">
        <v>0.77954124619778642</v>
      </c>
      <c r="E467" s="52">
        <v>0.19421467664491687</v>
      </c>
      <c r="F467" s="52">
        <v>9.7737772582779228E-2</v>
      </c>
      <c r="G467" s="52">
        <v>4.8823396301484918E-2</v>
      </c>
      <c r="H467" s="52">
        <v>0.10402288357257097</v>
      </c>
      <c r="I467" s="119">
        <v>208.60812678614957</v>
      </c>
    </row>
    <row r="468" spans="1:9" x14ac:dyDescent="0.3">
      <c r="A468" s="23">
        <v>450</v>
      </c>
      <c r="B468" s="52">
        <v>5.8160890395949495E-2</v>
      </c>
      <c r="C468" s="52">
        <v>0.30060014979340105</v>
      </c>
      <c r="D468" s="52">
        <v>0.61422275808958748</v>
      </c>
      <c r="E468" s="52">
        <v>0.18751234529118976</v>
      </c>
      <c r="F468" s="52">
        <v>9.9222661833294604E-2</v>
      </c>
      <c r="G468" s="52">
        <v>6.549922848054518E-2</v>
      </c>
      <c r="H468" s="52">
        <v>0.10285104041303401</v>
      </c>
      <c r="I468" s="119">
        <v>504.39928606405925</v>
      </c>
    </row>
    <row r="469" spans="1:9" x14ac:dyDescent="0.3">
      <c r="A469" s="23">
        <v>451</v>
      </c>
      <c r="B469" s="52">
        <v>5.1909984911267262E-2</v>
      </c>
      <c r="C469" s="52">
        <v>0.27578369579201362</v>
      </c>
      <c r="D469" s="52">
        <v>0.48051873184295757</v>
      </c>
      <c r="E469" s="52">
        <v>0.17991838592364878</v>
      </c>
      <c r="F469" s="52">
        <v>0.10368956955428028</v>
      </c>
      <c r="G469" s="52">
        <v>6.5825482218768841E-2</v>
      </c>
      <c r="H469" s="52">
        <v>0.10655578240326778</v>
      </c>
      <c r="I469" s="119">
        <v>308.08962453566454</v>
      </c>
    </row>
    <row r="470" spans="1:9" x14ac:dyDescent="0.3">
      <c r="A470" s="23">
        <v>452</v>
      </c>
      <c r="B470" s="52">
        <v>4.6519881027736402E-2</v>
      </c>
      <c r="C470" s="52">
        <v>0.2975095180328427</v>
      </c>
      <c r="D470" s="52">
        <v>0.59133132921896281</v>
      </c>
      <c r="E470" s="52">
        <v>0.20162900779770893</v>
      </c>
      <c r="F470" s="52">
        <v>0.10044672341697301</v>
      </c>
      <c r="G470" s="52">
        <v>6.3736683465997743E-2</v>
      </c>
      <c r="H470" s="52">
        <v>0.10419117673272063</v>
      </c>
      <c r="I470" s="119">
        <v>404.43784041667556</v>
      </c>
    </row>
    <row r="471" spans="1:9" x14ac:dyDescent="0.3">
      <c r="A471" s="23">
        <v>453</v>
      </c>
      <c r="B471" s="52">
        <v>5.373038593444452E-2</v>
      </c>
      <c r="C471" s="52">
        <v>0.29170384505572555</v>
      </c>
      <c r="D471" s="52">
        <v>0.51980617391176076</v>
      </c>
      <c r="E471" s="52">
        <v>0.17825491731131277</v>
      </c>
      <c r="F471" s="52">
        <v>9.7432881674063845E-2</v>
      </c>
      <c r="G471" s="52">
        <v>4.9785648593304969E-2</v>
      </c>
      <c r="H471" s="52">
        <v>0.11708318765188894</v>
      </c>
      <c r="I471" s="119">
        <v>273.93970543239556</v>
      </c>
    </row>
    <row r="472" spans="1:9" x14ac:dyDescent="0.3">
      <c r="A472" s="23">
        <v>454</v>
      </c>
      <c r="B472" s="52">
        <v>4.7523203607915968E-2</v>
      </c>
      <c r="C472" s="52">
        <v>0.28268120688374782</v>
      </c>
      <c r="D472" s="52">
        <v>0.53471898342997082</v>
      </c>
      <c r="E472" s="52">
        <v>0.20294429105229436</v>
      </c>
      <c r="F472" s="52">
        <v>9.2835105733175882E-2</v>
      </c>
      <c r="G472" s="52">
        <v>6.9195575930060441E-2</v>
      </c>
      <c r="H472" s="52">
        <v>0.10907742839704482</v>
      </c>
      <c r="I472" s="119">
        <v>661.1559282974755</v>
      </c>
    </row>
    <row r="473" spans="1:9" x14ac:dyDescent="0.3">
      <c r="A473" s="23">
        <v>455</v>
      </c>
      <c r="B473" s="52">
        <v>6.172114594554011E-2</v>
      </c>
      <c r="C473" s="52">
        <v>0.27735831144865586</v>
      </c>
      <c r="D473" s="52">
        <v>0.48814649220096018</v>
      </c>
      <c r="E473" s="52">
        <v>0.17690365423394472</v>
      </c>
      <c r="F473" s="52">
        <v>0.10733814544674687</v>
      </c>
      <c r="G473" s="52">
        <v>5.122418429528941E-2</v>
      </c>
      <c r="H473" s="52">
        <v>0.11728579584525843</v>
      </c>
      <c r="I473" s="119">
        <v>163.62934715901042</v>
      </c>
    </row>
    <row r="474" spans="1:9" x14ac:dyDescent="0.3">
      <c r="A474" s="23">
        <v>456</v>
      </c>
      <c r="B474" s="52">
        <v>6.7593937494955555E-2</v>
      </c>
      <c r="C474" s="52">
        <v>0.29947641216853538</v>
      </c>
      <c r="D474" s="52">
        <v>0.56482046187087154</v>
      </c>
      <c r="E474" s="52">
        <v>0.18203747546123522</v>
      </c>
      <c r="F474" s="52">
        <v>9.7569908082731485E-2</v>
      </c>
      <c r="G474" s="52">
        <v>4.1268898438718261E-2</v>
      </c>
      <c r="H474" s="52">
        <v>0.11228124931700323</v>
      </c>
      <c r="I474" s="119">
        <v>253.10651224369283</v>
      </c>
    </row>
    <row r="475" spans="1:9" x14ac:dyDescent="0.3">
      <c r="A475" s="23">
        <v>457</v>
      </c>
      <c r="B475" s="52">
        <v>7.0690958299113718E-2</v>
      </c>
      <c r="C475" s="52">
        <v>0.27946075586190028</v>
      </c>
      <c r="D475" s="52">
        <v>0.52918221013542355</v>
      </c>
      <c r="E475" s="52">
        <v>0.19736867561888521</v>
      </c>
      <c r="F475" s="52">
        <v>0.10005846989027405</v>
      </c>
      <c r="G475" s="52">
        <v>4.5594701832933411E-2</v>
      </c>
      <c r="H475" s="52">
        <v>0.11583741781941319</v>
      </c>
      <c r="I475" s="119">
        <v>205.42104590544562</v>
      </c>
    </row>
    <row r="476" spans="1:9" x14ac:dyDescent="0.3">
      <c r="A476" s="23">
        <v>458</v>
      </c>
      <c r="B476" s="52">
        <v>6.4471571517430756E-2</v>
      </c>
      <c r="C476" s="52">
        <v>0.28570989960696036</v>
      </c>
      <c r="D476" s="52">
        <v>0.67608202639147896</v>
      </c>
      <c r="E476" s="52">
        <v>0.1943178377279762</v>
      </c>
      <c r="F476" s="52">
        <v>7.5509656360785091E-2</v>
      </c>
      <c r="G476" s="52">
        <v>5.7832733527690305E-2</v>
      </c>
      <c r="H476" s="52">
        <v>8.7257599905011807E-2</v>
      </c>
      <c r="I476" s="119">
        <v>1133.7567049450199</v>
      </c>
    </row>
    <row r="477" spans="1:9" x14ac:dyDescent="0.3">
      <c r="A477" s="23">
        <v>459</v>
      </c>
      <c r="B477" s="52">
        <v>6.938612986954551E-2</v>
      </c>
      <c r="C477" s="52">
        <v>0.27624546251546178</v>
      </c>
      <c r="D477" s="52">
        <v>0.5313038163526127</v>
      </c>
      <c r="E477" s="52">
        <v>0.18114282785089256</v>
      </c>
      <c r="F477" s="52">
        <v>0.10176936920005948</v>
      </c>
      <c r="G477" s="52">
        <v>5.3752727414959886E-2</v>
      </c>
      <c r="H477" s="52">
        <v>0.10841322036446019</v>
      </c>
      <c r="I477" s="119">
        <v>239.81065104898732</v>
      </c>
    </row>
    <row r="478" spans="1:9" x14ac:dyDescent="0.3">
      <c r="A478" s="23">
        <v>460</v>
      </c>
      <c r="B478" s="52">
        <v>5.5054667099344277E-2</v>
      </c>
      <c r="C478" s="52">
        <v>0.28732572892146069</v>
      </c>
      <c r="D478" s="52">
        <v>0.456226757683797</v>
      </c>
      <c r="E478" s="52">
        <v>0.20810364799180003</v>
      </c>
      <c r="F478" s="52">
        <v>0.10074893786722187</v>
      </c>
      <c r="G478" s="52">
        <v>6.5901416617189859E-2</v>
      </c>
      <c r="H478" s="52">
        <v>0.12461040044143901</v>
      </c>
      <c r="I478" s="119">
        <v>413.21061790375171</v>
      </c>
    </row>
    <row r="479" spans="1:9" x14ac:dyDescent="0.3">
      <c r="A479" s="23">
        <v>461</v>
      </c>
      <c r="B479" s="52">
        <v>5.7566738530709712E-2</v>
      </c>
      <c r="C479" s="52">
        <v>0.29586316206132229</v>
      </c>
      <c r="D479" s="52">
        <v>0.46316696135256646</v>
      </c>
      <c r="E479" s="52">
        <v>0.18376113251154086</v>
      </c>
      <c r="F479" s="52">
        <v>0.10156387253473007</v>
      </c>
      <c r="G479" s="52">
        <v>4.6609321658265646E-2</v>
      </c>
      <c r="H479" s="52">
        <v>0.11187918405682723</v>
      </c>
      <c r="I479" s="119">
        <v>227.33767729893731</v>
      </c>
    </row>
    <row r="480" spans="1:9" x14ac:dyDescent="0.3">
      <c r="A480" s="23">
        <v>462</v>
      </c>
      <c r="B480" s="52">
        <v>5.6925570745037082E-2</v>
      </c>
      <c r="C480" s="52">
        <v>0.27169435566836952</v>
      </c>
      <c r="D480" s="52">
        <v>0.52142255417041938</v>
      </c>
      <c r="E480" s="52">
        <v>0.19210181438902191</v>
      </c>
      <c r="F480" s="52">
        <v>9.0763405908176761E-2</v>
      </c>
      <c r="G480" s="52">
        <v>6.104653959232164E-2</v>
      </c>
      <c r="H480" s="52">
        <v>0.10846888053132211</v>
      </c>
      <c r="I480" s="119">
        <v>466.25560227614915</v>
      </c>
    </row>
    <row r="481" spans="1:9" x14ac:dyDescent="0.3">
      <c r="A481" s="23">
        <v>463</v>
      </c>
      <c r="B481" s="52">
        <v>6.7772833764932927E-2</v>
      </c>
      <c r="C481" s="52">
        <v>0.26254407775957728</v>
      </c>
      <c r="D481" s="52">
        <v>0.56461615916475028</v>
      </c>
      <c r="E481" s="52">
        <v>0.17766667972524675</v>
      </c>
      <c r="F481" s="52">
        <v>9.9325599260292885E-2</v>
      </c>
      <c r="G481" s="52">
        <v>4.4440611688904945E-2</v>
      </c>
      <c r="H481" s="52">
        <v>0.11849598986593862</v>
      </c>
      <c r="I481" s="119">
        <v>146.39281882948487</v>
      </c>
    </row>
    <row r="482" spans="1:9" x14ac:dyDescent="0.3">
      <c r="A482" s="23">
        <v>464</v>
      </c>
      <c r="B482" s="52">
        <v>7.4911736179805413E-2</v>
      </c>
      <c r="C482" s="52">
        <v>0.30232697482276949</v>
      </c>
      <c r="D482" s="52">
        <v>0.52430681359052067</v>
      </c>
      <c r="E482" s="52">
        <v>0.20941866802644543</v>
      </c>
      <c r="F482" s="52">
        <v>0.10350339179957102</v>
      </c>
      <c r="G482" s="52">
        <v>4.913387655460727E-2</v>
      </c>
      <c r="H482" s="52">
        <v>9.8813058850497015E-2</v>
      </c>
      <c r="I482" s="119">
        <v>280.33625389281326</v>
      </c>
    </row>
    <row r="483" spans="1:9" x14ac:dyDescent="0.3">
      <c r="A483" s="23">
        <v>465</v>
      </c>
      <c r="B483" s="52">
        <v>6.6298924227935124E-2</v>
      </c>
      <c r="C483" s="52">
        <v>0.28060028940206067</v>
      </c>
      <c r="D483" s="52">
        <v>0.46710160917404409</v>
      </c>
      <c r="E483" s="52">
        <v>0.18221306653316977</v>
      </c>
      <c r="F483" s="52">
        <v>9.7876190947091324E-2</v>
      </c>
      <c r="G483" s="52">
        <v>4.6538833666463095E-2</v>
      </c>
      <c r="H483" s="52">
        <v>0.10858170923334852</v>
      </c>
      <c r="I483" s="119">
        <v>228.25330384289137</v>
      </c>
    </row>
    <row r="484" spans="1:9" x14ac:dyDescent="0.3">
      <c r="A484" s="23">
        <v>466</v>
      </c>
      <c r="B484" s="52">
        <v>5.937129602474945E-2</v>
      </c>
      <c r="C484" s="52">
        <v>0.25938282007612201</v>
      </c>
      <c r="D484" s="52">
        <v>0.45262608252928055</v>
      </c>
      <c r="E484" s="52">
        <v>0.18581801651599802</v>
      </c>
      <c r="F484" s="52">
        <v>0.10484129967966747</v>
      </c>
      <c r="G484" s="52">
        <v>5.5930434864954082E-2</v>
      </c>
      <c r="H484" s="52">
        <v>0.10447968913953443</v>
      </c>
      <c r="I484" s="119">
        <v>155.65240138353914</v>
      </c>
    </row>
    <row r="485" spans="1:9" x14ac:dyDescent="0.3">
      <c r="A485" s="23">
        <v>467</v>
      </c>
      <c r="B485" s="52">
        <v>6.221649435204777E-2</v>
      </c>
      <c r="C485" s="52">
        <v>0.29342369896242398</v>
      </c>
      <c r="D485" s="52">
        <v>0.53893853164686778</v>
      </c>
      <c r="E485" s="52">
        <v>0.19802358510216006</v>
      </c>
      <c r="F485" s="52">
        <v>0.10184478256126087</v>
      </c>
      <c r="G485" s="52">
        <v>5.6924420582957679E-2</v>
      </c>
      <c r="H485" s="52">
        <v>0.10317426114165028</v>
      </c>
      <c r="I485" s="119">
        <v>316.03673977729659</v>
      </c>
    </row>
    <row r="486" spans="1:9" x14ac:dyDescent="0.3">
      <c r="A486" s="23">
        <v>468</v>
      </c>
      <c r="B486" s="52">
        <v>7.322390656092212E-2</v>
      </c>
      <c r="C486" s="52">
        <v>0.29954140853714811</v>
      </c>
      <c r="D486" s="52">
        <v>0.64374562205415931</v>
      </c>
      <c r="E486" s="52">
        <v>0.19879891860540597</v>
      </c>
      <c r="F486" s="52">
        <v>0.10421982182315569</v>
      </c>
      <c r="G486" s="52">
        <v>6.0778994931615316E-2</v>
      </c>
      <c r="H486" s="52">
        <v>8.4086339988918929E-2</v>
      </c>
      <c r="I486" s="119">
        <v>375.1549179618516</v>
      </c>
    </row>
    <row r="487" spans="1:9" x14ac:dyDescent="0.3">
      <c r="A487" s="23">
        <v>469</v>
      </c>
      <c r="B487" s="52">
        <v>5.6130165929133426E-2</v>
      </c>
      <c r="C487" s="52">
        <v>0.26937651452256001</v>
      </c>
      <c r="D487" s="52">
        <v>0.58787422827888691</v>
      </c>
      <c r="E487" s="52">
        <v>0.18027269861426173</v>
      </c>
      <c r="F487" s="52">
        <v>9.398459251674296E-2</v>
      </c>
      <c r="G487" s="52">
        <v>4.9044080298889375E-2</v>
      </c>
      <c r="H487" s="52">
        <v>0.10352024754886058</v>
      </c>
      <c r="I487" s="119">
        <v>232.85611989488109</v>
      </c>
    </row>
    <row r="488" spans="1:9" x14ac:dyDescent="0.3">
      <c r="A488" s="23">
        <v>470</v>
      </c>
      <c r="B488" s="52">
        <v>7.3171713870979732E-2</v>
      </c>
      <c r="C488" s="52">
        <v>0.29482446480873958</v>
      </c>
      <c r="D488" s="52">
        <v>0.60121951388557249</v>
      </c>
      <c r="E488" s="52">
        <v>0.20823043472337521</v>
      </c>
      <c r="F488" s="52">
        <v>0.10021137556928866</v>
      </c>
      <c r="G488" s="52">
        <v>3.5331364115156493E-2</v>
      </c>
      <c r="H488" s="52">
        <v>0.10866576839707168</v>
      </c>
      <c r="I488" s="119">
        <v>190.33014288007223</v>
      </c>
    </row>
    <row r="489" spans="1:9" x14ac:dyDescent="0.3">
      <c r="A489" s="23">
        <v>471</v>
      </c>
      <c r="B489" s="52">
        <v>5.719089157761216E-2</v>
      </c>
      <c r="C489" s="52">
        <v>0.2901007246900148</v>
      </c>
      <c r="D489" s="52">
        <v>0.46807248698338244</v>
      </c>
      <c r="E489" s="52">
        <v>0.21394986627550355</v>
      </c>
      <c r="F489" s="52">
        <v>0.1032890731563077</v>
      </c>
      <c r="G489" s="52">
        <v>6.3348323137288567E-2</v>
      </c>
      <c r="H489" s="52">
        <v>0.10192426187333639</v>
      </c>
      <c r="I489" s="119">
        <v>348.81256973056975</v>
      </c>
    </row>
    <row r="490" spans="1:9" x14ac:dyDescent="0.3">
      <c r="A490" s="23">
        <v>472</v>
      </c>
      <c r="B490" s="52">
        <v>5.5050751777730139E-2</v>
      </c>
      <c r="C490" s="52">
        <v>0.30017142730560581</v>
      </c>
      <c r="D490" s="52">
        <v>0.59040435198480867</v>
      </c>
      <c r="E490" s="52">
        <v>0.19215953953771395</v>
      </c>
      <c r="F490" s="52">
        <v>8.7976518903245662E-2</v>
      </c>
      <c r="G490" s="52">
        <v>3.9437394306191087E-2</v>
      </c>
      <c r="H490" s="52">
        <v>0.11800156081706714</v>
      </c>
      <c r="I490" s="119">
        <v>314.22258873947266</v>
      </c>
    </row>
    <row r="491" spans="1:9" x14ac:dyDescent="0.3">
      <c r="A491" s="23">
        <v>473</v>
      </c>
      <c r="B491" s="52">
        <v>6.487969388426279E-2</v>
      </c>
      <c r="C491" s="52">
        <v>0.29043690213829298</v>
      </c>
      <c r="D491" s="52">
        <v>0.49822747252706256</v>
      </c>
      <c r="E491" s="52">
        <v>0.18426911556901132</v>
      </c>
      <c r="F491" s="52">
        <v>9.0625050325463641E-2</v>
      </c>
      <c r="G491" s="52">
        <v>5.2730695373471317E-2</v>
      </c>
      <c r="H491" s="52">
        <v>0.11121002898586638</v>
      </c>
      <c r="I491" s="119">
        <v>425.77491088706728</v>
      </c>
    </row>
    <row r="492" spans="1:9" x14ac:dyDescent="0.3">
      <c r="A492" s="23">
        <v>474</v>
      </c>
      <c r="B492" s="52">
        <v>5.8369649818617926E-2</v>
      </c>
      <c r="C492" s="52">
        <v>0.29857605660959252</v>
      </c>
      <c r="D492" s="52">
        <v>0.46700061759092787</v>
      </c>
      <c r="E492" s="52">
        <v>0.21805218005588733</v>
      </c>
      <c r="F492" s="52">
        <v>9.2293288662421091E-2</v>
      </c>
      <c r="G492" s="52">
        <v>4.4837103107541583E-2</v>
      </c>
      <c r="H492" s="52">
        <v>8.3959607987215829E-2</v>
      </c>
      <c r="I492" s="119">
        <v>318.13780300316006</v>
      </c>
    </row>
    <row r="493" spans="1:9" x14ac:dyDescent="0.3">
      <c r="A493" s="23">
        <v>475</v>
      </c>
      <c r="B493" s="52">
        <v>6.1525947133265382E-2</v>
      </c>
      <c r="C493" s="52">
        <v>0.29231563565438312</v>
      </c>
      <c r="D493" s="52">
        <v>0.55268142906290429</v>
      </c>
      <c r="E493" s="52">
        <v>0.18008248649470071</v>
      </c>
      <c r="F493" s="52">
        <v>9.3067987849817888E-2</v>
      </c>
      <c r="G493" s="52">
        <v>3.9987172438216645E-2</v>
      </c>
      <c r="H493" s="52">
        <v>0.11642653198399203</v>
      </c>
      <c r="I493" s="119">
        <v>251.93068560474541</v>
      </c>
    </row>
    <row r="494" spans="1:9" x14ac:dyDescent="0.3">
      <c r="A494" s="23">
        <v>476</v>
      </c>
      <c r="B494" s="52">
        <v>6.1687827820877644E-2</v>
      </c>
      <c r="C494" s="52">
        <v>0.26189882614454041</v>
      </c>
      <c r="D494" s="52">
        <v>0.65992579641819848</v>
      </c>
      <c r="E494" s="52">
        <v>0.20098965035918742</v>
      </c>
      <c r="F494" s="52">
        <v>8.9275696775308722E-2</v>
      </c>
      <c r="G494" s="52">
        <v>4.0745945859295481E-2</v>
      </c>
      <c r="H494" s="52">
        <v>0.11421934523687473</v>
      </c>
      <c r="I494" s="119">
        <v>193.13951479904898</v>
      </c>
    </row>
    <row r="495" spans="1:9" x14ac:dyDescent="0.3">
      <c r="A495" s="23">
        <v>477</v>
      </c>
      <c r="B495" s="52">
        <v>5.2624041142913365E-2</v>
      </c>
      <c r="C495" s="52">
        <v>0.2792245569196688</v>
      </c>
      <c r="D495" s="52">
        <v>0.62194667769472078</v>
      </c>
      <c r="E495" s="52">
        <v>0.18308459118174414</v>
      </c>
      <c r="F495" s="52">
        <v>0.10213878289257525</v>
      </c>
      <c r="G495" s="52">
        <v>6.0597146253465413E-2</v>
      </c>
      <c r="H495" s="52">
        <v>0.1149258265675777</v>
      </c>
      <c r="I495" s="119">
        <v>281.66738376365618</v>
      </c>
    </row>
    <row r="496" spans="1:9" x14ac:dyDescent="0.3">
      <c r="A496" s="23">
        <v>478</v>
      </c>
      <c r="B496" s="52">
        <v>7.235222632577179E-2</v>
      </c>
      <c r="C496" s="52">
        <v>0.3016610330816954</v>
      </c>
      <c r="D496" s="52">
        <v>0.50699303841369403</v>
      </c>
      <c r="E496" s="52">
        <v>0.17842775325745941</v>
      </c>
      <c r="F496" s="52">
        <v>9.0750606872722059E-2</v>
      </c>
      <c r="G496" s="52">
        <v>5.2210376975764444E-2</v>
      </c>
      <c r="H496" s="52">
        <v>9.9922085723864879E-2</v>
      </c>
      <c r="I496" s="119">
        <v>483.83993749334195</v>
      </c>
    </row>
    <row r="497" spans="1:9" x14ac:dyDescent="0.3">
      <c r="A497" s="23">
        <v>479</v>
      </c>
      <c r="B497" s="52">
        <v>5.3546207302537188E-2</v>
      </c>
      <c r="C497" s="52">
        <v>0.28157783396958025</v>
      </c>
      <c r="D497" s="52">
        <v>0.65200082795813186</v>
      </c>
      <c r="E497" s="52">
        <v>0.17164655617813201</v>
      </c>
      <c r="F497" s="52">
        <v>8.3147878383697277E-2</v>
      </c>
      <c r="G497" s="52">
        <v>4.4566614085984495E-2</v>
      </c>
      <c r="H497" s="52">
        <v>0.10652217200708691</v>
      </c>
      <c r="I497" s="119">
        <v>367.56580825693527</v>
      </c>
    </row>
    <row r="498" spans="1:9" x14ac:dyDescent="0.3">
      <c r="A498" s="23">
        <v>480</v>
      </c>
      <c r="B498" s="52">
        <v>6.864631298917917E-2</v>
      </c>
      <c r="C498" s="52">
        <v>0.27739617294329388</v>
      </c>
      <c r="D498" s="52">
        <v>0.45777792459899275</v>
      </c>
      <c r="E498" s="52">
        <v>0.19912662392679914</v>
      </c>
      <c r="F498" s="52">
        <v>8.7023496816425225E-2</v>
      </c>
      <c r="G498" s="52">
        <v>5.0739577711345296E-2</v>
      </c>
      <c r="H498" s="52">
        <v>7.9476220368379064E-2</v>
      </c>
      <c r="I498" s="119">
        <v>410.81619585954832</v>
      </c>
    </row>
    <row r="499" spans="1:9" x14ac:dyDescent="0.3">
      <c r="A499" s="23">
        <v>481</v>
      </c>
      <c r="B499" s="52">
        <v>6.7592596288050477E-2</v>
      </c>
      <c r="C499" s="52">
        <v>0.2923745743296699</v>
      </c>
      <c r="D499" s="52">
        <v>0.53203620022241349</v>
      </c>
      <c r="E499" s="52">
        <v>0.1909150723229438</v>
      </c>
      <c r="F499" s="52">
        <v>8.7802655917547962E-2</v>
      </c>
      <c r="G499" s="52">
        <v>5.2952702716564583E-2</v>
      </c>
      <c r="H499" s="52">
        <v>0.11402053024460594</v>
      </c>
      <c r="I499" s="119">
        <v>501.55767193284709</v>
      </c>
    </row>
    <row r="500" spans="1:9" x14ac:dyDescent="0.3">
      <c r="A500" s="23">
        <v>482</v>
      </c>
      <c r="B500" s="52">
        <v>6.8347088553571189E-2</v>
      </c>
      <c r="C500" s="52">
        <v>0.28919882248972018</v>
      </c>
      <c r="D500" s="52">
        <v>0.69722285331716938</v>
      </c>
      <c r="E500" s="52">
        <v>0.20334310536209899</v>
      </c>
      <c r="F500" s="52">
        <v>9.5134258781795211E-2</v>
      </c>
      <c r="G500" s="52">
        <v>5.7983416076117587E-2</v>
      </c>
      <c r="H500" s="52">
        <v>0.12584154863864552</v>
      </c>
      <c r="I500" s="119">
        <v>430.26871800316889</v>
      </c>
    </row>
    <row r="501" spans="1:9" x14ac:dyDescent="0.3">
      <c r="A501" s="23">
        <v>483</v>
      </c>
      <c r="B501" s="52">
        <v>6.5278606801010552E-2</v>
      </c>
      <c r="C501" s="52">
        <v>0.28030234830778905</v>
      </c>
      <c r="D501" s="52">
        <v>0.57119653559359551</v>
      </c>
      <c r="E501" s="52">
        <v>0.19892378806401032</v>
      </c>
      <c r="F501" s="52">
        <v>9.4753020077234837E-2</v>
      </c>
      <c r="G501" s="52">
        <v>5.6279737588108544E-2</v>
      </c>
      <c r="H501" s="52">
        <v>0.10754300339771483</v>
      </c>
      <c r="I501" s="119">
        <v>365.55397118036325</v>
      </c>
    </row>
    <row r="502" spans="1:9" x14ac:dyDescent="0.3">
      <c r="A502" s="23">
        <v>484</v>
      </c>
      <c r="B502" s="52">
        <v>5.6641780385694888E-2</v>
      </c>
      <c r="C502" s="52">
        <v>0.28908267881865657</v>
      </c>
      <c r="D502" s="52">
        <v>0.73391530646769798</v>
      </c>
      <c r="E502" s="52">
        <v>0.19805995708604496</v>
      </c>
      <c r="F502" s="52">
        <v>8.9987543784004531E-2</v>
      </c>
      <c r="G502" s="52">
        <v>5.5649967633818798E-2</v>
      </c>
      <c r="H502" s="52">
        <v>0.10908502261688895</v>
      </c>
      <c r="I502" s="119">
        <v>459.90177800322789</v>
      </c>
    </row>
    <row r="503" spans="1:9" x14ac:dyDescent="0.3">
      <c r="A503" s="23">
        <v>485</v>
      </c>
      <c r="B503" s="52">
        <v>7.1924594844481382E-2</v>
      </c>
      <c r="C503" s="52">
        <v>0.28736760808728673</v>
      </c>
      <c r="D503" s="52">
        <v>0.51204269327130447</v>
      </c>
      <c r="E503" s="52">
        <v>0.19936790689141806</v>
      </c>
      <c r="F503" s="52">
        <v>8.0091656040510426E-2</v>
      </c>
      <c r="G503" s="52">
        <v>5.8028772905526146E-2</v>
      </c>
      <c r="H503" s="52">
        <v>0.10328006030447895</v>
      </c>
      <c r="I503" s="119">
        <v>901.45768226526627</v>
      </c>
    </row>
    <row r="504" spans="1:9" x14ac:dyDescent="0.3">
      <c r="A504" s="23">
        <v>486</v>
      </c>
      <c r="B504" s="52">
        <v>7.0950783503623022E-2</v>
      </c>
      <c r="C504" s="52">
        <v>0.26277957214804643</v>
      </c>
      <c r="D504" s="52">
        <v>0.60250412435761524</v>
      </c>
      <c r="E504" s="52">
        <v>0.20113204489465997</v>
      </c>
      <c r="F504" s="52">
        <v>0.1006760526688724</v>
      </c>
      <c r="G504" s="52">
        <v>3.9740650290167316E-2</v>
      </c>
      <c r="H504" s="52">
        <v>9.7586203350863085E-2</v>
      </c>
      <c r="I504" s="119">
        <v>116.69408133528815</v>
      </c>
    </row>
    <row r="505" spans="1:9" x14ac:dyDescent="0.3">
      <c r="A505" s="23">
        <v>487</v>
      </c>
      <c r="B505" s="52">
        <v>7.1704934451862018E-2</v>
      </c>
      <c r="C505" s="52">
        <v>0.27566335639574119</v>
      </c>
      <c r="D505" s="52">
        <v>0.69490130917881077</v>
      </c>
      <c r="E505" s="52">
        <v>0.17374291457804675</v>
      </c>
      <c r="F505" s="52">
        <v>0.10572671635407438</v>
      </c>
      <c r="G505" s="52">
        <v>6.3214590538651305E-2</v>
      </c>
      <c r="H505" s="52">
        <v>0.11418915121636436</v>
      </c>
      <c r="I505" s="119">
        <v>288.56260589150298</v>
      </c>
    </row>
    <row r="506" spans="1:9" x14ac:dyDescent="0.3">
      <c r="A506" s="23">
        <v>488</v>
      </c>
      <c r="B506" s="52">
        <v>6.4675378482410048E-2</v>
      </c>
      <c r="C506" s="52">
        <v>0.25874795492892744</v>
      </c>
      <c r="D506" s="52">
        <v>0.48394871170944248</v>
      </c>
      <c r="E506" s="52">
        <v>0.19738021029589997</v>
      </c>
      <c r="F506" s="52">
        <v>9.2330493463806756E-2</v>
      </c>
      <c r="G506" s="52">
        <v>4.8400114196905548E-2</v>
      </c>
      <c r="H506" s="52">
        <v>0.11304157362980072</v>
      </c>
      <c r="I506" s="119">
        <v>220.55657305644505</v>
      </c>
    </row>
    <row r="507" spans="1:9" x14ac:dyDescent="0.3">
      <c r="A507" s="23">
        <v>489</v>
      </c>
      <c r="B507" s="52">
        <v>7.1491769612552075E-2</v>
      </c>
      <c r="C507" s="52">
        <v>0.2722820413497255</v>
      </c>
      <c r="D507" s="52">
        <v>0.53041726560306324</v>
      </c>
      <c r="E507" s="52">
        <v>0.20850009776761397</v>
      </c>
      <c r="F507" s="52">
        <v>9.1115703651148877E-2</v>
      </c>
      <c r="G507" s="52">
        <v>5.847432978861003E-2</v>
      </c>
      <c r="H507" s="52">
        <v>0.10824847378309499</v>
      </c>
      <c r="I507" s="119">
        <v>447.16090306090013</v>
      </c>
    </row>
    <row r="508" spans="1:9" x14ac:dyDescent="0.3">
      <c r="A508" s="23">
        <v>490</v>
      </c>
      <c r="B508" s="52">
        <v>5.5256986854742146E-2</v>
      </c>
      <c r="C508" s="52">
        <v>0.27912612200303288</v>
      </c>
      <c r="D508" s="52">
        <v>0.48068814290175266</v>
      </c>
      <c r="E508" s="52">
        <v>0.19861224369436528</v>
      </c>
      <c r="F508" s="52">
        <v>0.10266642535038399</v>
      </c>
      <c r="G508" s="52">
        <v>6.2379955660477646E-2</v>
      </c>
      <c r="H508" s="52">
        <v>8.8125063913998616E-2</v>
      </c>
      <c r="I508" s="119">
        <v>299.92106561546922</v>
      </c>
    </row>
    <row r="509" spans="1:9" x14ac:dyDescent="0.3">
      <c r="A509" s="23">
        <v>491</v>
      </c>
      <c r="B509" s="52">
        <v>7.0339044418923052E-2</v>
      </c>
      <c r="C509" s="52">
        <v>0.28699480761422086</v>
      </c>
      <c r="D509" s="52">
        <v>0.52135428875784462</v>
      </c>
      <c r="E509" s="52">
        <v>0.1833822471677416</v>
      </c>
      <c r="F509" s="52">
        <v>0.10394273013808866</v>
      </c>
      <c r="G509" s="52">
        <v>5.7179745797242401E-2</v>
      </c>
      <c r="H509" s="52">
        <v>0.10744820328808991</v>
      </c>
      <c r="I509" s="119">
        <v>286.91414679643981</v>
      </c>
    </row>
    <row r="510" spans="1:9" x14ac:dyDescent="0.3">
      <c r="A510" s="23">
        <v>492</v>
      </c>
      <c r="B510" s="52">
        <v>5.9570609737519375E-2</v>
      </c>
      <c r="C510" s="52">
        <v>0.30091367077717823</v>
      </c>
      <c r="D510" s="52">
        <v>0.43402394917820314</v>
      </c>
      <c r="E510" s="52">
        <v>0.22049255887272087</v>
      </c>
      <c r="F510" s="52">
        <v>9.7876422897647253E-2</v>
      </c>
      <c r="G510" s="52">
        <v>5.4697862475581505E-2</v>
      </c>
      <c r="H510" s="52">
        <v>0.118600181516157</v>
      </c>
      <c r="I510" s="119">
        <v>365.3670517114835</v>
      </c>
    </row>
    <row r="511" spans="1:9" x14ac:dyDescent="0.3">
      <c r="A511" s="23">
        <v>493</v>
      </c>
      <c r="B511" s="52">
        <v>5.374075986393044E-2</v>
      </c>
      <c r="C511" s="52">
        <v>0.29130569374913395</v>
      </c>
      <c r="D511" s="52">
        <v>0.5056051997884794</v>
      </c>
      <c r="E511" s="52">
        <v>0.15613916505463304</v>
      </c>
      <c r="F511" s="52">
        <v>8.3794478492382071E-2</v>
      </c>
      <c r="G511" s="52">
        <v>5.8623738149220284E-2</v>
      </c>
      <c r="H511" s="52">
        <v>0.11468663157626856</v>
      </c>
      <c r="I511" s="119">
        <v>712.43107512313964</v>
      </c>
    </row>
    <row r="512" spans="1:9" x14ac:dyDescent="0.3">
      <c r="A512" s="23">
        <v>494</v>
      </c>
      <c r="B512" s="52">
        <v>5.2795349509312167E-2</v>
      </c>
      <c r="C512" s="52">
        <v>0.26250022089316538</v>
      </c>
      <c r="D512" s="52">
        <v>0.52822681090650581</v>
      </c>
      <c r="E512" s="52">
        <v>0.18494638181588322</v>
      </c>
      <c r="F512" s="52">
        <v>9.7021040175667539E-2</v>
      </c>
      <c r="G512" s="52">
        <v>5.260192672352007E-2</v>
      </c>
      <c r="H512" s="52">
        <v>0.11879636606167308</v>
      </c>
      <c r="I512" s="119">
        <v>202.70401428895681</v>
      </c>
    </row>
    <row r="513" spans="1:9" x14ac:dyDescent="0.3">
      <c r="A513" s="23">
        <v>495</v>
      </c>
      <c r="B513" s="52">
        <v>6.5535633398015436E-2</v>
      </c>
      <c r="C513" s="52">
        <v>0.30975867068340779</v>
      </c>
      <c r="D513" s="52">
        <v>0.60369961349013657</v>
      </c>
      <c r="E513" s="52">
        <v>0.17943877833220775</v>
      </c>
      <c r="F513" s="52">
        <v>8.92314286504617E-2</v>
      </c>
      <c r="G513" s="52">
        <v>6.1228627225850124E-2</v>
      </c>
      <c r="H513" s="52">
        <v>8.4669616026095518E-2</v>
      </c>
      <c r="I513" s="119">
        <v>751.78121273049214</v>
      </c>
    </row>
    <row r="514" spans="1:9" x14ac:dyDescent="0.3">
      <c r="A514" s="23">
        <v>496</v>
      </c>
      <c r="B514" s="52">
        <v>5.4530472395612789E-2</v>
      </c>
      <c r="C514" s="52">
        <v>0.31687185772056076</v>
      </c>
      <c r="D514" s="52">
        <v>0.4463141966956034</v>
      </c>
      <c r="E514" s="52">
        <v>0.18970049279992462</v>
      </c>
      <c r="F514" s="52">
        <v>9.4045262087436243E-2</v>
      </c>
      <c r="G514" s="52">
        <v>4.7656542475357763E-2</v>
      </c>
      <c r="H514" s="52">
        <v>0.10484591479261787</v>
      </c>
      <c r="I514" s="119">
        <v>380.34378792049404</v>
      </c>
    </row>
    <row r="515" spans="1:9" x14ac:dyDescent="0.3">
      <c r="A515" s="23">
        <v>497</v>
      </c>
      <c r="B515" s="52">
        <v>6.8171719760492924E-2</v>
      </c>
      <c r="C515" s="52">
        <v>0.2752982648328951</v>
      </c>
      <c r="D515" s="52">
        <v>0.62030356374893159</v>
      </c>
      <c r="E515" s="52">
        <v>0.20284953912279652</v>
      </c>
      <c r="F515" s="52">
        <v>9.8849903101739717E-2</v>
      </c>
      <c r="G515" s="52">
        <v>6.1784592327490478E-2</v>
      </c>
      <c r="H515" s="52">
        <v>0.1062883772621519</v>
      </c>
      <c r="I515" s="119">
        <v>361.96935805457542</v>
      </c>
    </row>
    <row r="516" spans="1:9" x14ac:dyDescent="0.3">
      <c r="A516" s="23">
        <v>498</v>
      </c>
      <c r="B516" s="52">
        <v>7.1354035342392222E-2</v>
      </c>
      <c r="C516" s="52">
        <v>0.27695362605232393</v>
      </c>
      <c r="D516" s="52">
        <v>0.70086843571256507</v>
      </c>
      <c r="E516" s="52">
        <v>0.19996508932654819</v>
      </c>
      <c r="F516" s="52">
        <v>9.2573199208571322E-2</v>
      </c>
      <c r="G516" s="52">
        <v>5.9374957948022333E-2</v>
      </c>
      <c r="H516" s="52">
        <v>0.1069855478797497</v>
      </c>
      <c r="I516" s="119">
        <v>456.04870394215942</v>
      </c>
    </row>
    <row r="517" spans="1:9" x14ac:dyDescent="0.3">
      <c r="A517" s="23">
        <v>499</v>
      </c>
      <c r="B517" s="52">
        <v>5.2637539153305421E-2</v>
      </c>
      <c r="C517" s="52">
        <v>0.29800450891751606</v>
      </c>
      <c r="D517" s="52">
        <v>0.5348613597334656</v>
      </c>
      <c r="E517" s="52">
        <v>0.17276765140517239</v>
      </c>
      <c r="F517" s="52">
        <v>8.5273474076657238E-2</v>
      </c>
      <c r="G517" s="52">
        <v>5.5508228412179894E-2</v>
      </c>
      <c r="H517" s="52">
        <v>0.1165883032908492</v>
      </c>
      <c r="I517" s="119">
        <v>603.60172694986989</v>
      </c>
    </row>
    <row r="518" spans="1:9" x14ac:dyDescent="0.3">
      <c r="A518" s="23">
        <v>500</v>
      </c>
      <c r="B518" s="52">
        <v>6.4210953033822737E-2</v>
      </c>
      <c r="C518" s="52">
        <v>0.25796214463402195</v>
      </c>
      <c r="D518" s="52">
        <v>0.54042106005038548</v>
      </c>
      <c r="E518" s="52">
        <v>0.19809482905692982</v>
      </c>
      <c r="F518" s="52">
        <v>9.1887912567194807E-2</v>
      </c>
      <c r="G518" s="52">
        <v>4.507985962716371E-2</v>
      </c>
      <c r="H518" s="52">
        <v>9.3750363381219226E-2</v>
      </c>
      <c r="I518" s="119">
        <v>192.80095927280021</v>
      </c>
    </row>
    <row r="519" spans="1:9" x14ac:dyDescent="0.3">
      <c r="A519" s="23">
        <v>501</v>
      </c>
      <c r="B519" s="52">
        <v>5.7972435828172825E-2</v>
      </c>
      <c r="C519" s="52">
        <v>0.29529181506699237</v>
      </c>
      <c r="D519" s="52">
        <v>0.74575372773490212</v>
      </c>
      <c r="E519" s="52">
        <v>0.19717942694134163</v>
      </c>
      <c r="F519" s="52">
        <v>9.4317380972562398E-2</v>
      </c>
      <c r="G519" s="52">
        <v>4.565553444837385E-2</v>
      </c>
      <c r="H519" s="52">
        <v>0.10339252760189294</v>
      </c>
      <c r="I519" s="119">
        <v>290.52480995794679</v>
      </c>
    </row>
    <row r="520" spans="1:9" x14ac:dyDescent="0.3">
      <c r="A520" s="23">
        <v>502</v>
      </c>
      <c r="B520" s="52">
        <v>8.3002923154662747E-2</v>
      </c>
      <c r="C520" s="52">
        <v>0.29054753591877536</v>
      </c>
      <c r="D520" s="52">
        <v>0.66711901205839053</v>
      </c>
      <c r="E520" s="52">
        <v>0.1641201115102387</v>
      </c>
      <c r="F520" s="52">
        <v>0.10256865239755723</v>
      </c>
      <c r="G520" s="52">
        <v>4.6791155820171154E-2</v>
      </c>
      <c r="H520" s="52">
        <v>9.4034127045691515E-2</v>
      </c>
      <c r="I520" s="119">
        <v>248.36949751961984</v>
      </c>
    </row>
    <row r="521" spans="1:9" x14ac:dyDescent="0.3">
      <c r="A521" s="23">
        <v>503</v>
      </c>
      <c r="B521" s="52">
        <v>4.8249483443316241E-2</v>
      </c>
      <c r="C521" s="52">
        <v>0.30158076424593788</v>
      </c>
      <c r="D521" s="52">
        <v>0.51839852071443071</v>
      </c>
      <c r="E521" s="52">
        <v>0.16840573436099016</v>
      </c>
      <c r="F521" s="52">
        <v>9.8638817811002602E-2</v>
      </c>
      <c r="G521" s="52">
        <v>5.075865798157557E-2</v>
      </c>
      <c r="H521" s="52">
        <v>0.10499923393818644</v>
      </c>
      <c r="I521" s="119">
        <v>290.77670852367947</v>
      </c>
    </row>
    <row r="522" spans="1:9" x14ac:dyDescent="0.3">
      <c r="A522" s="23">
        <v>504</v>
      </c>
      <c r="B522" s="52">
        <v>7.0231474490829671E-2</v>
      </c>
      <c r="C522" s="52">
        <v>0.27245050070627408</v>
      </c>
      <c r="D522" s="52">
        <v>0.4458101690111354</v>
      </c>
      <c r="E522" s="52">
        <v>0.17476222661956389</v>
      </c>
      <c r="F522" s="52">
        <v>9.6294635253482558E-2</v>
      </c>
      <c r="G522" s="52">
        <v>5.5865007747547171E-2</v>
      </c>
      <c r="H522" s="52">
        <v>0.10843083675122622</v>
      </c>
      <c r="I522" s="119">
        <v>314.90535435086292</v>
      </c>
    </row>
    <row r="523" spans="1:9" x14ac:dyDescent="0.3">
      <c r="A523" s="23">
        <v>505</v>
      </c>
      <c r="B523" s="52">
        <v>5.6123064836635379E-2</v>
      </c>
      <c r="C523" s="52">
        <v>0.28069219563599324</v>
      </c>
      <c r="D523" s="52">
        <v>0.60739103789178661</v>
      </c>
      <c r="E523" s="52">
        <v>0.18905719872480306</v>
      </c>
      <c r="F523" s="52">
        <v>9.5666426555882284E-2</v>
      </c>
      <c r="G523" s="52">
        <v>6.0236280058022604E-2</v>
      </c>
      <c r="H523" s="52">
        <v>0.10654947189817651</v>
      </c>
      <c r="I523" s="119">
        <v>389.19668316705196</v>
      </c>
    </row>
    <row r="524" spans="1:9" x14ac:dyDescent="0.3">
      <c r="A524" s="23">
        <v>506</v>
      </c>
      <c r="B524" s="52">
        <v>7.2972447929262066E-2</v>
      </c>
      <c r="C524" s="52">
        <v>0.29663183042919461</v>
      </c>
      <c r="D524" s="52">
        <v>0.45354537579514614</v>
      </c>
      <c r="E524" s="52">
        <v>0.22440811655357917</v>
      </c>
      <c r="F524" s="52">
        <v>9.0433586524971368E-2</v>
      </c>
      <c r="G524" s="52">
        <v>4.9967084118188114E-2</v>
      </c>
      <c r="H524" s="52">
        <v>0.11099193971978207</v>
      </c>
      <c r="I524" s="119">
        <v>434.35498554050025</v>
      </c>
    </row>
    <row r="525" spans="1:9" x14ac:dyDescent="0.3">
      <c r="A525" s="23">
        <v>507</v>
      </c>
      <c r="B525" s="52">
        <v>5.6469788612495436E-2</v>
      </c>
      <c r="C525" s="52">
        <v>0.28053286006839145</v>
      </c>
      <c r="D525" s="52">
        <v>0.52194783507221842</v>
      </c>
      <c r="E525" s="52">
        <v>0.16605404329310208</v>
      </c>
      <c r="F525" s="52">
        <v>9.7414162295302115E-2</v>
      </c>
      <c r="G525" s="52">
        <v>6.0699827664205612E-2</v>
      </c>
      <c r="H525" s="52">
        <v>0.11222620165610075</v>
      </c>
      <c r="I525" s="119">
        <v>365.86587688202462</v>
      </c>
    </row>
    <row r="526" spans="1:9" x14ac:dyDescent="0.3">
      <c r="A526" s="23">
        <v>508</v>
      </c>
      <c r="B526" s="52">
        <v>5.1534911302276123E-2</v>
      </c>
      <c r="C526" s="52">
        <v>0.29454173154569668</v>
      </c>
      <c r="D526" s="52">
        <v>0.59609893023011862</v>
      </c>
      <c r="E526" s="52">
        <v>0.17910350611923528</v>
      </c>
      <c r="F526" s="52">
        <v>9.7393493763349909E-2</v>
      </c>
      <c r="G526" s="52">
        <v>6.7923461610143954E-2</v>
      </c>
      <c r="H526" s="52">
        <v>0.10207203064238571</v>
      </c>
      <c r="I526" s="119">
        <v>554.46020683988695</v>
      </c>
    </row>
    <row r="527" spans="1:9" x14ac:dyDescent="0.3">
      <c r="A527" s="23">
        <v>509</v>
      </c>
      <c r="B527" s="52">
        <v>5.5099656613421255E-2</v>
      </c>
      <c r="C527" s="52">
        <v>0.24529687414920318</v>
      </c>
      <c r="D527" s="52">
        <v>0.45261389829331244</v>
      </c>
      <c r="E527" s="52">
        <v>0.18397770742072719</v>
      </c>
      <c r="F527" s="52">
        <v>0.10263898657189946</v>
      </c>
      <c r="G527" s="52">
        <v>6.2672465578862011E-2</v>
      </c>
      <c r="H527" s="52">
        <v>0.1027024099759514</v>
      </c>
      <c r="I527" s="119">
        <v>175.01537540505015</v>
      </c>
    </row>
    <row r="528" spans="1:9" x14ac:dyDescent="0.3">
      <c r="A528" s="23">
        <v>510</v>
      </c>
      <c r="B528" s="52">
        <v>6.5524160405091708E-2</v>
      </c>
      <c r="C528" s="52">
        <v>0.30301411885845464</v>
      </c>
      <c r="D528" s="52">
        <v>0.46112819345438483</v>
      </c>
      <c r="E528" s="52">
        <v>0.20385061431484508</v>
      </c>
      <c r="F528" s="52">
        <v>0.10290122055247923</v>
      </c>
      <c r="G528" s="52">
        <v>5.4883478871665559E-2</v>
      </c>
      <c r="H528" s="52">
        <v>0.11467701973902925</v>
      </c>
      <c r="I528" s="119">
        <v>322.0453028509466</v>
      </c>
    </row>
    <row r="529" spans="1:9" x14ac:dyDescent="0.3">
      <c r="A529" s="23">
        <v>511</v>
      </c>
      <c r="B529" s="52">
        <v>6.0270167361221337E-2</v>
      </c>
      <c r="C529" s="52">
        <v>0.25178091561232474</v>
      </c>
      <c r="D529" s="52">
        <v>0.51569812608604748</v>
      </c>
      <c r="E529" s="52">
        <v>0.16892680332033172</v>
      </c>
      <c r="F529" s="52">
        <v>9.3704741274373449E-2</v>
      </c>
      <c r="G529" s="52">
        <v>4.0461900412941593E-2</v>
      </c>
      <c r="H529" s="52">
        <v>0.11724542182958686</v>
      </c>
      <c r="I529" s="119">
        <v>119.85582242829256</v>
      </c>
    </row>
    <row r="530" spans="1:9" x14ac:dyDescent="0.3">
      <c r="A530" s="23">
        <v>512</v>
      </c>
      <c r="B530" s="52">
        <v>6.0266728400995964E-2</v>
      </c>
      <c r="C530" s="52">
        <v>0.30346195741774429</v>
      </c>
      <c r="D530" s="52">
        <v>0.72336890140523336</v>
      </c>
      <c r="E530" s="52">
        <v>0.15495597744897635</v>
      </c>
      <c r="F530" s="52">
        <v>0.10194302522748656</v>
      </c>
      <c r="G530" s="52">
        <v>5.3361908291350499E-2</v>
      </c>
      <c r="H530" s="52">
        <v>0.11608317962793654</v>
      </c>
      <c r="I530" s="119">
        <v>308.73295462770255</v>
      </c>
    </row>
    <row r="531" spans="1:9" x14ac:dyDescent="0.3">
      <c r="A531" s="23">
        <v>513</v>
      </c>
      <c r="B531" s="52">
        <v>5.8417130514692536E-2</v>
      </c>
      <c r="C531" s="52">
        <v>0.28449483335528697</v>
      </c>
      <c r="D531" s="52">
        <v>0.46512561857298174</v>
      </c>
      <c r="E531" s="52">
        <v>0.19520997380126037</v>
      </c>
      <c r="F531" s="52">
        <v>8.7212347189849632E-2</v>
      </c>
      <c r="G531" s="52">
        <v>4.7899114391858885E-2</v>
      </c>
      <c r="H531" s="52">
        <v>9.9280662039405818E-2</v>
      </c>
      <c r="I531" s="119">
        <v>371.91309024181055</v>
      </c>
    </row>
    <row r="532" spans="1:9" x14ac:dyDescent="0.3">
      <c r="A532" s="23">
        <v>514</v>
      </c>
      <c r="B532" s="52">
        <v>6.9765284770695365E-2</v>
      </c>
      <c r="C532" s="52">
        <v>0.27306007370623664</v>
      </c>
      <c r="D532" s="52">
        <v>0.68479170321646354</v>
      </c>
      <c r="E532" s="52">
        <v>0.20085547398430084</v>
      </c>
      <c r="F532" s="52">
        <v>8.897791363061644E-2</v>
      </c>
      <c r="G532" s="52">
        <v>4.0012541753400827E-2</v>
      </c>
      <c r="H532" s="52">
        <v>0.11242549347312578</v>
      </c>
      <c r="I532" s="119">
        <v>242.85396890128757</v>
      </c>
    </row>
    <row r="533" spans="1:9" x14ac:dyDescent="0.3">
      <c r="A533" s="23">
        <v>515</v>
      </c>
      <c r="B533" s="52">
        <v>6.9219163530218827E-2</v>
      </c>
      <c r="C533" s="52">
        <v>0.30205417057245393</v>
      </c>
      <c r="D533" s="52">
        <v>0.50485193536506578</v>
      </c>
      <c r="E533" s="52">
        <v>0.19723132476234118</v>
      </c>
      <c r="F533" s="52">
        <v>9.7390836967322536E-2</v>
      </c>
      <c r="G533" s="52">
        <v>7.309098908706553E-2</v>
      </c>
      <c r="H533" s="52">
        <v>0.10147347484364413</v>
      </c>
      <c r="I533" s="119">
        <v>824.15279984749998</v>
      </c>
    </row>
    <row r="534" spans="1:9" x14ac:dyDescent="0.3">
      <c r="A534" s="23">
        <v>516</v>
      </c>
      <c r="B534" s="52">
        <v>6.1069352379551675E-2</v>
      </c>
      <c r="C534" s="52">
        <v>0.26970356605808343</v>
      </c>
      <c r="D534" s="52">
        <v>0.54361505935133236</v>
      </c>
      <c r="E534" s="52">
        <v>0.18303976571126734</v>
      </c>
      <c r="F534" s="52">
        <v>8.4189539663014193E-2</v>
      </c>
      <c r="G534" s="52">
        <v>4.6516987961421001E-2</v>
      </c>
      <c r="H534" s="52">
        <v>9.7041890268111192E-2</v>
      </c>
      <c r="I534" s="119">
        <v>344.24037001490041</v>
      </c>
    </row>
    <row r="535" spans="1:9" x14ac:dyDescent="0.3">
      <c r="A535" s="23">
        <v>517</v>
      </c>
      <c r="B535" s="52">
        <v>7.1688886136904939E-2</v>
      </c>
      <c r="C535" s="52">
        <v>0.2798110846213912</v>
      </c>
      <c r="D535" s="52">
        <v>0.46584404457290013</v>
      </c>
      <c r="E535" s="52">
        <v>0.17700822706765573</v>
      </c>
      <c r="F535" s="52">
        <v>9.8954051177428767E-2</v>
      </c>
      <c r="G535" s="52">
        <v>4.6344869516263598E-2</v>
      </c>
      <c r="H535" s="52">
        <v>0.10206660800660301</v>
      </c>
      <c r="I535" s="119">
        <v>223.39585375483094</v>
      </c>
    </row>
    <row r="536" spans="1:9" x14ac:dyDescent="0.3">
      <c r="A536" s="23">
        <v>518</v>
      </c>
      <c r="B536" s="52">
        <v>6.4322469353979977E-2</v>
      </c>
      <c r="C536" s="52">
        <v>0.30304422089634431</v>
      </c>
      <c r="D536" s="52">
        <v>0.44591530614670644</v>
      </c>
      <c r="E536" s="52">
        <v>0.19912088070940859</v>
      </c>
      <c r="F536" s="52">
        <v>7.7863914384605201E-2</v>
      </c>
      <c r="G536" s="52">
        <v>6.0003417066369732E-2</v>
      </c>
      <c r="H536" s="52">
        <v>0.11841715259343727</v>
      </c>
      <c r="I536" s="119">
        <v>1262.821297588697</v>
      </c>
    </row>
    <row r="537" spans="1:9" x14ac:dyDescent="0.3">
      <c r="A537" s="23">
        <v>519</v>
      </c>
      <c r="B537" s="52">
        <v>6.862178396773061E-2</v>
      </c>
      <c r="C537" s="52">
        <v>0.28000882848311837</v>
      </c>
      <c r="D537" s="52">
        <v>0.49398101353981294</v>
      </c>
      <c r="E537" s="52">
        <v>0.2033570259842794</v>
      </c>
      <c r="F537" s="52">
        <v>0.10110710456250288</v>
      </c>
      <c r="G537" s="52">
        <v>4.7080037266352258E-2</v>
      </c>
      <c r="H537" s="52">
        <v>0.11559265993072576</v>
      </c>
      <c r="I537" s="119">
        <v>205.18347757335167</v>
      </c>
    </row>
    <row r="538" spans="1:9" x14ac:dyDescent="0.3">
      <c r="A538" s="23">
        <v>520</v>
      </c>
      <c r="B538" s="52">
        <v>8.0401851056982221E-2</v>
      </c>
      <c r="C538" s="52">
        <v>0.28834551741503978</v>
      </c>
      <c r="D538" s="52">
        <v>0.54193731477395135</v>
      </c>
      <c r="E538" s="52">
        <v>0.19873381602534251</v>
      </c>
      <c r="F538" s="52">
        <v>9.6435047369978752E-2</v>
      </c>
      <c r="G538" s="52">
        <v>4.7385639037909794E-2</v>
      </c>
      <c r="H538" s="52">
        <v>8.5012829318028157E-2</v>
      </c>
      <c r="I538" s="119">
        <v>303.73610834644211</v>
      </c>
    </row>
    <row r="539" spans="1:9" x14ac:dyDescent="0.3">
      <c r="A539" s="23">
        <v>521</v>
      </c>
      <c r="B539" s="52">
        <v>6.7064875930253121E-2</v>
      </c>
      <c r="C539" s="52">
        <v>0.27137223151503265</v>
      </c>
      <c r="D539" s="52">
        <v>0.73482995154688224</v>
      </c>
      <c r="E539" s="52">
        <v>0.18677406880676095</v>
      </c>
      <c r="F539" s="52">
        <v>9.1247158600847797E-2</v>
      </c>
      <c r="G539" s="52">
        <v>4.0295505471517667E-2</v>
      </c>
      <c r="H539" s="52">
        <v>0.11751394183042969</v>
      </c>
      <c r="I539" s="119">
        <v>212.55372502260948</v>
      </c>
    </row>
    <row r="540" spans="1:9" x14ac:dyDescent="0.3">
      <c r="A540" s="23">
        <v>522</v>
      </c>
      <c r="B540" s="52">
        <v>6.8643002367310357E-2</v>
      </c>
      <c r="C540" s="52">
        <v>0.27726484862144218</v>
      </c>
      <c r="D540" s="52">
        <v>0.47032700865780191</v>
      </c>
      <c r="E540" s="52">
        <v>0.19657737317434168</v>
      </c>
      <c r="F540" s="52">
        <v>8.8011289942576107E-2</v>
      </c>
      <c r="G540" s="52">
        <v>6.6939053621034722E-2</v>
      </c>
      <c r="H540" s="52">
        <v>0.10860154091611388</v>
      </c>
      <c r="I540" s="119">
        <v>827.11159313579026</v>
      </c>
    </row>
    <row r="541" spans="1:9" x14ac:dyDescent="0.3">
      <c r="A541" s="23">
        <v>523</v>
      </c>
      <c r="B541" s="52">
        <v>7.1503415282430399E-2</v>
      </c>
      <c r="C541" s="52">
        <v>0.29494568268476129</v>
      </c>
      <c r="D541" s="52">
        <v>0.68886838080981017</v>
      </c>
      <c r="E541" s="52">
        <v>0.18279561500200342</v>
      </c>
      <c r="F541" s="52">
        <v>0.10113101406495426</v>
      </c>
      <c r="G541" s="52">
        <v>4.5419112397630149E-2</v>
      </c>
      <c r="H541" s="52">
        <v>0.11221637006160112</v>
      </c>
      <c r="I541" s="119">
        <v>244.55916941272258</v>
      </c>
    </row>
    <row r="542" spans="1:9" x14ac:dyDescent="0.3">
      <c r="A542" s="23">
        <v>524</v>
      </c>
      <c r="B542" s="52">
        <v>5.3314714820442831E-2</v>
      </c>
      <c r="C542" s="52">
        <v>0.2699452002890983</v>
      </c>
      <c r="D542" s="52">
        <v>0.59168806132516127</v>
      </c>
      <c r="E542" s="52">
        <v>0.2034284575520115</v>
      </c>
      <c r="F542" s="52">
        <v>9.3164223747248892E-2</v>
      </c>
      <c r="G542" s="52">
        <v>5.8047254110138426E-2</v>
      </c>
      <c r="H542" s="52">
        <v>9.5944763945224054E-2</v>
      </c>
      <c r="I542" s="119">
        <v>346.26335318788693</v>
      </c>
    </row>
    <row r="543" spans="1:9" x14ac:dyDescent="0.3">
      <c r="A543" s="23">
        <v>525</v>
      </c>
      <c r="B543" s="52">
        <v>6.1050654295370266E-2</v>
      </c>
      <c r="C543" s="52">
        <v>0.27976875066925161</v>
      </c>
      <c r="D543" s="52">
        <v>0.62532721831743865</v>
      </c>
      <c r="E543" s="52">
        <v>0.2059048630166633</v>
      </c>
      <c r="F543" s="52">
        <v>9.7620454426671666E-2</v>
      </c>
      <c r="G543" s="52">
        <v>4.5279926635114959E-2</v>
      </c>
      <c r="H543" s="52">
        <v>0.10788166553827609</v>
      </c>
      <c r="I543" s="119">
        <v>209.4892422973987</v>
      </c>
    </row>
    <row r="544" spans="1:9" x14ac:dyDescent="0.3">
      <c r="A544" s="23">
        <v>526</v>
      </c>
      <c r="B544" s="52">
        <v>6.8652109039724976E-2</v>
      </c>
      <c r="C544" s="52">
        <v>0.27202112562789887</v>
      </c>
      <c r="D544" s="52">
        <v>0.67733680896656701</v>
      </c>
      <c r="E544" s="52">
        <v>0.21447023791018938</v>
      </c>
      <c r="F544" s="52">
        <v>0.10117340549191102</v>
      </c>
      <c r="G544" s="52">
        <v>5.4913436862074935E-2</v>
      </c>
      <c r="H544" s="52">
        <v>0.10293904939837664</v>
      </c>
      <c r="I544" s="119">
        <v>240.19125234892815</v>
      </c>
    </row>
    <row r="545" spans="1:9" x14ac:dyDescent="0.3">
      <c r="A545" s="23">
        <v>527</v>
      </c>
      <c r="B545" s="52">
        <v>7.2121366964495795E-2</v>
      </c>
      <c r="C545" s="52">
        <v>0.29183091335698319</v>
      </c>
      <c r="D545" s="52">
        <v>0.68249391309451002</v>
      </c>
      <c r="E545" s="52">
        <v>0.20621917487154168</v>
      </c>
      <c r="F545" s="52">
        <v>9.8229904153871325E-2</v>
      </c>
      <c r="G545" s="52">
        <v>4.9236735683734316E-2</v>
      </c>
      <c r="H545" s="52">
        <v>9.1607801185996887E-2</v>
      </c>
      <c r="I545" s="119">
        <v>296.64867213451549</v>
      </c>
    </row>
    <row r="546" spans="1:9" x14ac:dyDescent="0.3">
      <c r="A546" s="23">
        <v>528</v>
      </c>
      <c r="B546" s="52">
        <v>7.0030056798628462E-2</v>
      </c>
      <c r="C546" s="52">
        <v>0.24816845992771269</v>
      </c>
      <c r="D546" s="52">
        <v>0.46447141223448579</v>
      </c>
      <c r="E546" s="52">
        <v>0.18782761405851189</v>
      </c>
      <c r="F546" s="52">
        <v>8.3999086199265646E-2</v>
      </c>
      <c r="G546" s="52">
        <v>5.5548942219592112E-2</v>
      </c>
      <c r="H546" s="52">
        <v>0.10834649726239545</v>
      </c>
      <c r="I546" s="119">
        <v>413.88235963828373</v>
      </c>
    </row>
    <row r="547" spans="1:9" x14ac:dyDescent="0.3">
      <c r="A547" s="23">
        <v>529</v>
      </c>
      <c r="B547" s="52">
        <v>8.441469783980772E-2</v>
      </c>
      <c r="C547" s="52">
        <v>0.29481798662819692</v>
      </c>
      <c r="D547" s="52">
        <v>0.57104513393463407</v>
      </c>
      <c r="E547" s="52">
        <v>0.20944064594893805</v>
      </c>
      <c r="F547" s="52">
        <v>9.8929029853781394E-2</v>
      </c>
      <c r="G547" s="52">
        <v>4.1703637625867776E-2</v>
      </c>
      <c r="H547" s="52">
        <v>0.10125181731098711</v>
      </c>
      <c r="I547" s="119">
        <v>260.25831071700884</v>
      </c>
    </row>
    <row r="548" spans="1:9" x14ac:dyDescent="0.3">
      <c r="A548" s="23">
        <v>530</v>
      </c>
      <c r="B548" s="52">
        <v>5.7145866089832693E-2</v>
      </c>
      <c r="C548" s="52">
        <v>0.29900984463779184</v>
      </c>
      <c r="D548" s="52">
        <v>0.5818062407514728</v>
      </c>
      <c r="E548" s="52">
        <v>0.21021577470744809</v>
      </c>
      <c r="F548" s="52">
        <v>0.10622350085664728</v>
      </c>
      <c r="G548" s="52">
        <v>5.0068885274482333E-2</v>
      </c>
      <c r="H548" s="52">
        <v>0.12457768416970202</v>
      </c>
      <c r="I548" s="119">
        <v>219.80755930631238</v>
      </c>
    </row>
    <row r="549" spans="1:9" x14ac:dyDescent="0.3">
      <c r="A549" s="23">
        <v>531</v>
      </c>
      <c r="B549" s="52">
        <v>5.5726958696603462E-2</v>
      </c>
      <c r="C549" s="52">
        <v>0.27736249406682167</v>
      </c>
      <c r="D549" s="52">
        <v>0.58807732982166061</v>
      </c>
      <c r="E549" s="52">
        <v>0.17091792087918148</v>
      </c>
      <c r="F549" s="52">
        <v>9.2602261576530634E-2</v>
      </c>
      <c r="G549" s="52">
        <v>4.7947343375087208E-2</v>
      </c>
      <c r="H549" s="52">
        <v>0.10172273888472552</v>
      </c>
      <c r="I549" s="119">
        <v>265.74361032757452</v>
      </c>
    </row>
    <row r="550" spans="1:9" x14ac:dyDescent="0.3">
      <c r="A550" s="23">
        <v>532</v>
      </c>
      <c r="B550" s="52">
        <v>6.694356418193427E-2</v>
      </c>
      <c r="C550" s="52">
        <v>0.30324539600405825</v>
      </c>
      <c r="D550" s="52">
        <v>0.49992876923097296</v>
      </c>
      <c r="E550" s="52">
        <v>0.1993431888618083</v>
      </c>
      <c r="F550" s="52">
        <v>8.87157935908921E-2</v>
      </c>
      <c r="G550" s="52">
        <v>4.6843908083512339E-2</v>
      </c>
      <c r="H550" s="52">
        <v>8.3009187393489781E-2</v>
      </c>
      <c r="I550" s="119">
        <v>430.11493681616378</v>
      </c>
    </row>
    <row r="551" spans="1:9" x14ac:dyDescent="0.3">
      <c r="A551" s="23">
        <v>533</v>
      </c>
      <c r="B551" s="52">
        <v>7.081097090086147E-2</v>
      </c>
      <c r="C551" s="52">
        <v>0.290208947017978</v>
      </c>
      <c r="D551" s="52">
        <v>0.61176497870271795</v>
      </c>
      <c r="E551" s="52">
        <v>0.1812238249023356</v>
      </c>
      <c r="F551" s="52">
        <v>9.1961447631333737E-2</v>
      </c>
      <c r="G551" s="52">
        <v>5.9158573431428142E-2</v>
      </c>
      <c r="H551" s="52">
        <v>0.10835293604665326</v>
      </c>
      <c r="I551" s="119">
        <v>530.2633990046611</v>
      </c>
    </row>
    <row r="552" spans="1:9" x14ac:dyDescent="0.3">
      <c r="A552" s="23">
        <v>534</v>
      </c>
      <c r="B552" s="52">
        <v>6.6463976555531296E-2</v>
      </c>
      <c r="C552" s="52">
        <v>0.29505762262982965</v>
      </c>
      <c r="D552" s="52">
        <v>0.64139037641925323</v>
      </c>
      <c r="E552" s="52">
        <v>0.20773273082990357</v>
      </c>
      <c r="F552" s="52">
        <v>9.6163994771741451E-2</v>
      </c>
      <c r="G552" s="52">
        <v>5.1752132187778382E-2</v>
      </c>
      <c r="H552" s="52">
        <v>0.11158835756456649</v>
      </c>
      <c r="I552" s="119">
        <v>348.27051867322177</v>
      </c>
    </row>
    <row r="553" spans="1:9" x14ac:dyDescent="0.3">
      <c r="A553" s="23">
        <v>535</v>
      </c>
      <c r="B553" s="52">
        <v>6.1413058708892659E-2</v>
      </c>
      <c r="C553" s="52">
        <v>0.27794063009999476</v>
      </c>
      <c r="D553" s="52">
        <v>0.5507485833808764</v>
      </c>
      <c r="E553" s="52">
        <v>0.19779554134136673</v>
      </c>
      <c r="F553" s="52">
        <v>9.5587941902042117E-2</v>
      </c>
      <c r="G553" s="52">
        <v>5.6699696260978344E-2</v>
      </c>
      <c r="H553" s="52">
        <v>0.11837352359964101</v>
      </c>
      <c r="I553" s="119">
        <v>339.7186114338777</v>
      </c>
    </row>
    <row r="554" spans="1:9" x14ac:dyDescent="0.3">
      <c r="A554" s="23">
        <v>536</v>
      </c>
      <c r="B554" s="52">
        <v>7.3703852852037441E-2</v>
      </c>
      <c r="C554" s="52">
        <v>0.27924861828476527</v>
      </c>
      <c r="D554" s="52">
        <v>0.45277767365224875</v>
      </c>
      <c r="E554" s="52">
        <v>0.16958422060991249</v>
      </c>
      <c r="F554" s="52">
        <v>0.10343405835138406</v>
      </c>
      <c r="G554" s="52">
        <v>6.2048006723006033E-2</v>
      </c>
      <c r="H554" s="52">
        <v>0.11066340369553709</v>
      </c>
      <c r="I554" s="119">
        <v>323.93876078605962</v>
      </c>
    </row>
    <row r="555" spans="1:9" x14ac:dyDescent="0.3">
      <c r="A555" s="23">
        <v>537</v>
      </c>
      <c r="B555" s="52">
        <v>5.8066302649665641E-2</v>
      </c>
      <c r="C555" s="52">
        <v>0.29351392621907735</v>
      </c>
      <c r="D555" s="52">
        <v>0.45025013037783201</v>
      </c>
      <c r="E555" s="52">
        <v>0.17264616903950045</v>
      </c>
      <c r="F555" s="52">
        <v>9.7093483795982941E-2</v>
      </c>
      <c r="G555" s="52">
        <v>5.383046524339441E-2</v>
      </c>
      <c r="H555" s="52">
        <v>9.4611827676777102E-2</v>
      </c>
      <c r="I555" s="119">
        <v>335.41049067211543</v>
      </c>
    </row>
    <row r="556" spans="1:9" x14ac:dyDescent="0.3">
      <c r="A556" s="23">
        <v>538</v>
      </c>
      <c r="B556" s="52">
        <v>6.6928183100564406E-2</v>
      </c>
      <c r="C556" s="52">
        <v>0.29335234752299588</v>
      </c>
      <c r="D556" s="52">
        <v>0.54375788053830332</v>
      </c>
      <c r="E556" s="52">
        <v>0.16687210395010593</v>
      </c>
      <c r="F556" s="52">
        <v>8.5549562139998217E-2</v>
      </c>
      <c r="G556" s="52">
        <v>4.2350381359174336E-2</v>
      </c>
      <c r="H556" s="52">
        <v>9.6129132242060725E-2</v>
      </c>
      <c r="I556" s="119">
        <v>380.11108467310129</v>
      </c>
    </row>
    <row r="557" spans="1:9" x14ac:dyDescent="0.3">
      <c r="A557" s="23">
        <v>539</v>
      </c>
      <c r="B557" s="52">
        <v>5.8476009357744711E-2</v>
      </c>
      <c r="C557" s="52">
        <v>0.28108051994697014</v>
      </c>
      <c r="D557" s="52">
        <v>0.50050781615292173</v>
      </c>
      <c r="E557" s="52">
        <v>0.19661370856198873</v>
      </c>
      <c r="F557" s="52">
        <v>8.1192327107662915E-2</v>
      </c>
      <c r="G557" s="52">
        <v>6.2407679581540629E-2</v>
      </c>
      <c r="H557" s="52">
        <v>0.11602091151229806</v>
      </c>
      <c r="I557" s="119">
        <v>963.03726370748575</v>
      </c>
    </row>
    <row r="558" spans="1:9" x14ac:dyDescent="0.3">
      <c r="A558" s="23">
        <v>540</v>
      </c>
      <c r="B558" s="52">
        <v>5.3667990656800536E-2</v>
      </c>
      <c r="C558" s="52">
        <v>0.27378961117242884</v>
      </c>
      <c r="D558" s="52">
        <v>0.52436514276335822</v>
      </c>
      <c r="E558" s="52">
        <v>0.17847934035776336</v>
      </c>
      <c r="F558" s="52">
        <v>9.4787694098207254E-2</v>
      </c>
      <c r="G558" s="52">
        <v>6.1761246456391326E-2</v>
      </c>
      <c r="H558" s="52">
        <v>0.1140612117483365</v>
      </c>
      <c r="I558" s="119">
        <v>394.39594566227231</v>
      </c>
    </row>
    <row r="559" spans="1:9" x14ac:dyDescent="0.3">
      <c r="A559" s="23">
        <v>541</v>
      </c>
      <c r="B559" s="52">
        <v>5.5508419553038056E-2</v>
      </c>
      <c r="C559" s="52">
        <v>0.26797004821492654</v>
      </c>
      <c r="D559" s="52">
        <v>0.5553935819522563</v>
      </c>
      <c r="E559" s="52">
        <v>0.19112568889106046</v>
      </c>
      <c r="F559" s="52">
        <v>0.10162830320467817</v>
      </c>
      <c r="G559" s="52">
        <v>4.5311404925144488E-2</v>
      </c>
      <c r="H559" s="52">
        <v>9.7537812534426782E-2</v>
      </c>
      <c r="I559" s="119">
        <v>134.32272541422242</v>
      </c>
    </row>
    <row r="560" spans="1:9" x14ac:dyDescent="0.3">
      <c r="A560" s="23">
        <v>542</v>
      </c>
      <c r="B560" s="52">
        <v>5.534055614394133E-2</v>
      </c>
      <c r="C560" s="52">
        <v>0.27868660527507516</v>
      </c>
      <c r="D560" s="52">
        <v>0.65050120227817754</v>
      </c>
      <c r="E560" s="52">
        <v>0.18433972272539215</v>
      </c>
      <c r="F560" s="52">
        <v>0.10165187840495994</v>
      </c>
      <c r="G560" s="52">
        <v>4.1071544894539909E-2</v>
      </c>
      <c r="H560" s="52">
        <v>0.1167666336589237</v>
      </c>
      <c r="I560" s="119">
        <v>140.7304964229053</v>
      </c>
    </row>
    <row r="561" spans="1:9" x14ac:dyDescent="0.3">
      <c r="A561" s="23">
        <v>543</v>
      </c>
      <c r="B561" s="52">
        <v>5.199298768221261E-2</v>
      </c>
      <c r="C561" s="52">
        <v>0.2751842721696931</v>
      </c>
      <c r="D561" s="52">
        <v>0.47371386915271668</v>
      </c>
      <c r="E561" s="52">
        <v>0.18577783735352621</v>
      </c>
      <c r="F561" s="52">
        <v>9.9500984111163038E-2</v>
      </c>
      <c r="G561" s="52">
        <v>6.8777019893251107E-2</v>
      </c>
      <c r="H561" s="52">
        <v>0.10900566401293579</v>
      </c>
      <c r="I561" s="119">
        <v>428.40892455746473</v>
      </c>
    </row>
    <row r="562" spans="1:9" x14ac:dyDescent="0.3">
      <c r="A562" s="23">
        <v>544</v>
      </c>
      <c r="B562" s="52">
        <v>5.8666559229124518E-2</v>
      </c>
      <c r="C562" s="52">
        <v>0.27656454508557848</v>
      </c>
      <c r="D562" s="52">
        <v>0.55842170602502339</v>
      </c>
      <c r="E562" s="52">
        <v>0.20160284452106172</v>
      </c>
      <c r="F562" s="52">
        <v>9.7005329166137869E-2</v>
      </c>
      <c r="G562" s="52">
        <v>4.0658627548351152E-2</v>
      </c>
      <c r="H562" s="52">
        <v>0.10172841753360432</v>
      </c>
      <c r="I562" s="119">
        <v>169.98033991327665</v>
      </c>
    </row>
    <row r="563" spans="1:9" x14ac:dyDescent="0.3">
      <c r="A563" s="23">
        <v>545</v>
      </c>
      <c r="B563" s="52">
        <v>6.5563762888360286E-2</v>
      </c>
      <c r="C563" s="52">
        <v>0.28205573118425348</v>
      </c>
      <c r="D563" s="52">
        <v>0.69286778378770075</v>
      </c>
      <c r="E563" s="52">
        <v>0.19986881540034468</v>
      </c>
      <c r="F563" s="52">
        <v>9.2172809890631591E-2</v>
      </c>
      <c r="G563" s="52">
        <v>4.9303355727623691E-2</v>
      </c>
      <c r="H563" s="52">
        <v>0.12144790733582572</v>
      </c>
      <c r="I563" s="119">
        <v>322.7989684847073</v>
      </c>
    </row>
    <row r="564" spans="1:9" x14ac:dyDescent="0.3">
      <c r="A564" s="23">
        <v>546</v>
      </c>
      <c r="B564" s="52">
        <v>5.4778581055274382E-2</v>
      </c>
      <c r="C564" s="52">
        <v>0.29386506235168225</v>
      </c>
      <c r="D564" s="52">
        <v>0.45933841854208218</v>
      </c>
      <c r="E564" s="52">
        <v>0.20672735444877441</v>
      </c>
      <c r="F564" s="52">
        <v>9.8821044944094549E-2</v>
      </c>
      <c r="G564" s="52">
        <v>3.5486597888030144E-2</v>
      </c>
      <c r="H564" s="52">
        <v>0.10958065599805981</v>
      </c>
      <c r="I564" s="119">
        <v>169.60004432354245</v>
      </c>
    </row>
    <row r="565" spans="1:9" x14ac:dyDescent="0.3">
      <c r="A565" s="23">
        <v>547</v>
      </c>
      <c r="B565" s="52">
        <v>6.1094178899806832E-2</v>
      </c>
      <c r="C565" s="52">
        <v>0.29519500806568594</v>
      </c>
      <c r="D565" s="52">
        <v>0.5257038899046973</v>
      </c>
      <c r="E565" s="52">
        <v>0.19180769534336714</v>
      </c>
      <c r="F565" s="52">
        <v>9.8729944438668185E-2</v>
      </c>
      <c r="G565" s="52">
        <v>4.2334071196924186E-2</v>
      </c>
      <c r="H565" s="52">
        <v>0.11478888986667321</v>
      </c>
      <c r="I565" s="119">
        <v>225.96321681439258</v>
      </c>
    </row>
    <row r="566" spans="1:9" x14ac:dyDescent="0.3">
      <c r="A566" s="23">
        <v>548</v>
      </c>
      <c r="B566" s="52">
        <v>6.0580063416708227E-2</v>
      </c>
      <c r="C566" s="52">
        <v>0.29642505755147625</v>
      </c>
      <c r="D566" s="52">
        <v>0.44084934417429195</v>
      </c>
      <c r="E566" s="52">
        <v>0.1921572578668112</v>
      </c>
      <c r="F566" s="52">
        <v>8.8043650475535626E-2</v>
      </c>
      <c r="G566" s="52">
        <v>4.3198785034222496E-2</v>
      </c>
      <c r="H566" s="52">
        <v>0.10049301251979584</v>
      </c>
      <c r="I566" s="119">
        <v>352.12057363264518</v>
      </c>
    </row>
    <row r="567" spans="1:9" x14ac:dyDescent="0.3">
      <c r="A567" s="23">
        <v>549</v>
      </c>
      <c r="B567" s="52">
        <v>6.1849145903820214E-2</v>
      </c>
      <c r="C567" s="52">
        <v>0.26582855505014857</v>
      </c>
      <c r="D567" s="52">
        <v>0.59344230589858538</v>
      </c>
      <c r="E567" s="52">
        <v>0.19248529598296746</v>
      </c>
      <c r="F567" s="52">
        <v>9.3306810613117436E-2</v>
      </c>
      <c r="G567" s="52">
        <v>4.2802002021104527E-2</v>
      </c>
      <c r="H567" s="52">
        <v>9.9912405738308785E-2</v>
      </c>
      <c r="I567" s="119">
        <v>185.76297415520148</v>
      </c>
    </row>
    <row r="568" spans="1:9" x14ac:dyDescent="0.3">
      <c r="A568" s="23">
        <v>550</v>
      </c>
      <c r="B568" s="52">
        <v>5.3833692693654137E-2</v>
      </c>
      <c r="C568" s="52">
        <v>0.27758473928358746</v>
      </c>
      <c r="D568" s="52">
        <v>0.47021739180616079</v>
      </c>
      <c r="E568" s="52">
        <v>0.16814449675471266</v>
      </c>
      <c r="F568" s="52">
        <v>9.2164284045659683E-2</v>
      </c>
      <c r="G568" s="52">
        <v>6.7149526434810647E-2</v>
      </c>
      <c r="H568" s="52">
        <v>0.12586799620563041</v>
      </c>
      <c r="I568" s="119">
        <v>608.42786722071151</v>
      </c>
    </row>
    <row r="569" spans="1:9" x14ac:dyDescent="0.3">
      <c r="A569" s="23">
        <v>551</v>
      </c>
      <c r="B569" s="52">
        <v>6.9658741862811513E-2</v>
      </c>
      <c r="C569" s="52">
        <v>0.27437421029996961</v>
      </c>
      <c r="D569" s="52">
        <v>0.55112545662031198</v>
      </c>
      <c r="E569" s="52">
        <v>0.19270451673421846</v>
      </c>
      <c r="F569" s="52">
        <v>9.9919216188862278E-2</v>
      </c>
      <c r="G569" s="52">
        <v>6.9258588232372104E-2</v>
      </c>
      <c r="H569" s="52">
        <v>0.11064044126581643</v>
      </c>
      <c r="I569" s="119">
        <v>470.85179075632004</v>
      </c>
    </row>
    <row r="570" spans="1:9" x14ac:dyDescent="0.3">
      <c r="A570" s="23">
        <v>552</v>
      </c>
      <c r="B570" s="52">
        <v>6.7406348915326667E-2</v>
      </c>
      <c r="C570" s="52">
        <v>0.30211483182868659</v>
      </c>
      <c r="D570" s="52">
        <v>0.51507718406665237</v>
      </c>
      <c r="E570" s="52">
        <v>0.19820991507823871</v>
      </c>
      <c r="F570" s="52">
        <v>0.10428174133216958</v>
      </c>
      <c r="G570" s="52">
        <v>5.3217791105895196E-2</v>
      </c>
      <c r="H570" s="52">
        <v>0.11055779954085915</v>
      </c>
      <c r="I570" s="119">
        <v>291.494938885804</v>
      </c>
    </row>
    <row r="571" spans="1:9" x14ac:dyDescent="0.3">
      <c r="A571" s="23">
        <v>553</v>
      </c>
      <c r="B571" s="52">
        <v>5.9309341562741799E-2</v>
      </c>
      <c r="C571" s="52">
        <v>0.27515518551754409</v>
      </c>
      <c r="D571" s="52">
        <v>0.54779492518037787</v>
      </c>
      <c r="E571" s="52">
        <v>0.1779719623471874</v>
      </c>
      <c r="F571" s="52">
        <v>9.8157549522322723E-2</v>
      </c>
      <c r="G571" s="52">
        <v>6.1163379672203942E-2</v>
      </c>
      <c r="H571" s="52">
        <v>9.9075143084342149E-2</v>
      </c>
      <c r="I571" s="119">
        <v>344.11084844803491</v>
      </c>
    </row>
    <row r="572" spans="1:9" x14ac:dyDescent="0.3">
      <c r="A572" s="23">
        <v>554</v>
      </c>
      <c r="B572" s="52">
        <v>6.6914312342959095E-2</v>
      </c>
      <c r="C572" s="52">
        <v>0.29689413856550328</v>
      </c>
      <c r="D572" s="52">
        <v>0.58017092924679226</v>
      </c>
      <c r="E572" s="52">
        <v>0.19240729131273346</v>
      </c>
      <c r="F572" s="52">
        <v>7.7595952394471257E-2</v>
      </c>
      <c r="G572" s="52">
        <v>4.8389737398317353E-2</v>
      </c>
      <c r="H572" s="52">
        <v>0.11416222811827328</v>
      </c>
      <c r="I572" s="119">
        <v>686.56249249302812</v>
      </c>
    </row>
    <row r="573" spans="1:9" x14ac:dyDescent="0.3">
      <c r="A573" s="23">
        <v>555</v>
      </c>
      <c r="B573" s="52">
        <v>8.5264714778695572E-2</v>
      </c>
      <c r="C573" s="52">
        <v>0.29527206508785908</v>
      </c>
      <c r="D573" s="52">
        <v>0.46896791765827966</v>
      </c>
      <c r="E573" s="52">
        <v>0.19197077333268409</v>
      </c>
      <c r="F573" s="52">
        <v>9.5854574131311931E-2</v>
      </c>
      <c r="G573" s="52">
        <v>5.9067140158588993E-2</v>
      </c>
      <c r="H573" s="52">
        <v>0.11102800009319186</v>
      </c>
      <c r="I573" s="119">
        <v>507.87233910809931</v>
      </c>
    </row>
    <row r="574" spans="1:9" x14ac:dyDescent="0.3">
      <c r="A574" s="23">
        <v>556</v>
      </c>
      <c r="B574" s="52">
        <v>5.6845405924997511E-2</v>
      </c>
      <c r="C574" s="52">
        <v>0.29541953808264726</v>
      </c>
      <c r="D574" s="52">
        <v>0.69475712905268372</v>
      </c>
      <c r="E574" s="52">
        <v>0.18481035873033913</v>
      </c>
      <c r="F574" s="52">
        <v>0.10173860455176484</v>
      </c>
      <c r="G574" s="52">
        <v>4.5748423904280355E-2</v>
      </c>
      <c r="H574" s="52">
        <v>9.7471739393961476E-2</v>
      </c>
      <c r="I574" s="119">
        <v>217.24425350323023</v>
      </c>
    </row>
    <row r="575" spans="1:9" x14ac:dyDescent="0.3">
      <c r="A575" s="23">
        <v>557</v>
      </c>
      <c r="B575" s="52">
        <v>6.2360633754286091E-2</v>
      </c>
      <c r="C575" s="52">
        <v>0.27866516809006991</v>
      </c>
      <c r="D575" s="52">
        <v>0.51297814891281035</v>
      </c>
      <c r="E575" s="52">
        <v>0.20410291234522904</v>
      </c>
      <c r="F575" s="52">
        <v>0.10315556003271323</v>
      </c>
      <c r="G575" s="52">
        <v>6.9409853197432675E-2</v>
      </c>
      <c r="H575" s="52">
        <v>0.10097926298816988</v>
      </c>
      <c r="I575" s="119">
        <v>406.27786987897952</v>
      </c>
    </row>
    <row r="576" spans="1:9" x14ac:dyDescent="0.3">
      <c r="A576" s="23">
        <v>558</v>
      </c>
      <c r="B576" s="52">
        <v>5.8456710168476894E-2</v>
      </c>
      <c r="C576" s="52">
        <v>0.27596900685740938</v>
      </c>
      <c r="D576" s="52">
        <v>0.59836512525307251</v>
      </c>
      <c r="E576" s="52">
        <v>0.1983006565465032</v>
      </c>
      <c r="F576" s="52">
        <v>9.1778136775007055E-2</v>
      </c>
      <c r="G576" s="52">
        <v>4.8140789601902115E-2</v>
      </c>
      <c r="H576" s="52">
        <v>9.0463060934677597E-2</v>
      </c>
      <c r="I576" s="119">
        <v>277.68897850781894</v>
      </c>
    </row>
    <row r="577" spans="1:9" x14ac:dyDescent="0.3">
      <c r="A577" s="23">
        <v>559</v>
      </c>
      <c r="B577" s="52">
        <v>6.8794805273732426E-2</v>
      </c>
      <c r="C577" s="52">
        <v>0.27833325217305793</v>
      </c>
      <c r="D577" s="52">
        <v>0.45428097433878062</v>
      </c>
      <c r="E577" s="52">
        <v>0.20121153460401892</v>
      </c>
      <c r="F577" s="52">
        <v>9.9603505143019813E-2</v>
      </c>
      <c r="G577" s="52">
        <v>6.1374669628076764E-2</v>
      </c>
      <c r="H577" s="52">
        <v>0.10361376793566447</v>
      </c>
      <c r="I577" s="119">
        <v>358.24887986243459</v>
      </c>
    </row>
    <row r="578" spans="1:9" x14ac:dyDescent="0.3">
      <c r="A578" s="23">
        <v>560</v>
      </c>
      <c r="B578" s="52">
        <v>5.9127955417083378E-2</v>
      </c>
      <c r="C578" s="52">
        <v>0.29005953213163393</v>
      </c>
      <c r="D578" s="52">
        <v>0.47640145195062866</v>
      </c>
      <c r="E578" s="52">
        <v>0.17967356015996092</v>
      </c>
      <c r="F578" s="52">
        <v>0.10322744723337236</v>
      </c>
      <c r="G578" s="52">
        <v>4.6746034807596912E-2</v>
      </c>
      <c r="H578" s="52">
        <v>0.10687572260282754</v>
      </c>
      <c r="I578" s="119">
        <v>199.97642405090889</v>
      </c>
    </row>
    <row r="579" spans="1:9" x14ac:dyDescent="0.3">
      <c r="A579" s="23">
        <v>561</v>
      </c>
      <c r="B579" s="52">
        <v>7.7348389465480505E-2</v>
      </c>
      <c r="C579" s="52">
        <v>0.28390160350700699</v>
      </c>
      <c r="D579" s="52">
        <v>0.53708671786593443</v>
      </c>
      <c r="E579" s="52">
        <v>0.20546357801843917</v>
      </c>
      <c r="F579" s="52">
        <v>9.611070887200561E-2</v>
      </c>
      <c r="G579" s="52">
        <v>4.5698116026823818E-2</v>
      </c>
      <c r="H579" s="52">
        <v>0.10702672236048594</v>
      </c>
      <c r="I579" s="119">
        <v>270.0585001623827</v>
      </c>
    </row>
    <row r="580" spans="1:9" x14ac:dyDescent="0.3">
      <c r="A580" s="23">
        <v>562</v>
      </c>
      <c r="B580" s="52">
        <v>6.4085667729070206E-2</v>
      </c>
      <c r="C580" s="52">
        <v>0.26369615469833985</v>
      </c>
      <c r="D580" s="52">
        <v>0.59958946948345249</v>
      </c>
      <c r="E580" s="52">
        <v>0.21072639943593852</v>
      </c>
      <c r="F580" s="52">
        <v>9.2687029347917976E-2</v>
      </c>
      <c r="G580" s="52">
        <v>5.245688646267254E-2</v>
      </c>
      <c r="H580" s="52">
        <v>0.11666216199043657</v>
      </c>
      <c r="I580" s="119">
        <v>276.21065553296916</v>
      </c>
    </row>
    <row r="581" spans="1:9" x14ac:dyDescent="0.3">
      <c r="A581" s="23">
        <v>563</v>
      </c>
      <c r="B581" s="52">
        <v>6.9517648837628607E-2</v>
      </c>
      <c r="C581" s="52">
        <v>0.29522548471889293</v>
      </c>
      <c r="D581" s="52">
        <v>0.45788469415354538</v>
      </c>
      <c r="E581" s="52">
        <v>0.19286225496458995</v>
      </c>
      <c r="F581" s="52">
        <v>8.5465386265394572E-2</v>
      </c>
      <c r="G581" s="52">
        <v>4.3074667519775206E-2</v>
      </c>
      <c r="H581" s="52">
        <v>0.11211470036833612</v>
      </c>
      <c r="I581" s="119">
        <v>404.52662789609889</v>
      </c>
    </row>
    <row r="582" spans="1:9" x14ac:dyDescent="0.3">
      <c r="A582" s="23">
        <v>564</v>
      </c>
      <c r="B582" s="52">
        <v>6.9899663736550544E-2</v>
      </c>
      <c r="C582" s="52">
        <v>0.30337335118930958</v>
      </c>
      <c r="D582" s="52">
        <v>0.53840338428894974</v>
      </c>
      <c r="E582" s="52">
        <v>0.18435981998859929</v>
      </c>
      <c r="F582" s="52">
        <v>0.1009674124090993</v>
      </c>
      <c r="G582" s="52">
        <v>4.9352881589129323E-2</v>
      </c>
      <c r="H582" s="52">
        <v>0.11168080425753096</v>
      </c>
      <c r="I582" s="119">
        <v>301.91523813626475</v>
      </c>
    </row>
    <row r="583" spans="1:9" x14ac:dyDescent="0.3">
      <c r="A583" s="23">
        <v>565</v>
      </c>
      <c r="B583" s="52">
        <v>7.0524037952319596E-2</v>
      </c>
      <c r="C583" s="52">
        <v>0.25778429765404648</v>
      </c>
      <c r="D583" s="52">
        <v>0.67883386227538256</v>
      </c>
      <c r="E583" s="52">
        <v>0.20910578027854237</v>
      </c>
      <c r="F583" s="52">
        <v>8.8851944273095798E-2</v>
      </c>
      <c r="G583" s="52">
        <v>4.5012217914783416E-2</v>
      </c>
      <c r="H583" s="52">
        <v>8.8844481207610848E-2</v>
      </c>
      <c r="I583" s="119">
        <v>233.36584399169504</v>
      </c>
    </row>
    <row r="584" spans="1:9" x14ac:dyDescent="0.3">
      <c r="A584" s="23">
        <v>566</v>
      </c>
      <c r="B584" s="52">
        <v>4.5286479318546471E-2</v>
      </c>
      <c r="C584" s="52">
        <v>0.30026641093857576</v>
      </c>
      <c r="D584" s="52">
        <v>0.7015835903060712</v>
      </c>
      <c r="E584" s="52">
        <v>0.17065776102209737</v>
      </c>
      <c r="F584" s="52">
        <v>9.6338358770188981E-2</v>
      </c>
      <c r="G584" s="52">
        <v>4.165573048529092E-2</v>
      </c>
      <c r="H584" s="52">
        <v>0.10200650868664433</v>
      </c>
      <c r="I584" s="119">
        <v>228.84060903464999</v>
      </c>
    </row>
    <row r="585" spans="1:9" x14ac:dyDescent="0.3">
      <c r="A585" s="23">
        <v>567</v>
      </c>
      <c r="B585" s="52">
        <v>6.0211048424397604E-2</v>
      </c>
      <c r="C585" s="52">
        <v>0.29120124789929991</v>
      </c>
      <c r="D585" s="52">
        <v>0.54084932886696668</v>
      </c>
      <c r="E585" s="52">
        <v>0.17095794699946928</v>
      </c>
      <c r="F585" s="52">
        <v>9.4212356088934704E-2</v>
      </c>
      <c r="G585" s="52">
        <v>6.1262864924365772E-2</v>
      </c>
      <c r="H585" s="52">
        <v>0.11829456426018417</v>
      </c>
      <c r="I585" s="119">
        <v>495.42834796731597</v>
      </c>
    </row>
    <row r="586" spans="1:9" x14ac:dyDescent="0.3">
      <c r="A586" s="23">
        <v>568</v>
      </c>
      <c r="B586" s="52">
        <v>7.054854922101883E-2</v>
      </c>
      <c r="C586" s="52">
        <v>0.27812679893585518</v>
      </c>
      <c r="D586" s="52">
        <v>0.65939307942837966</v>
      </c>
      <c r="E586" s="52">
        <v>0.19469380446653234</v>
      </c>
      <c r="F586" s="52">
        <v>9.9510802132586576E-2</v>
      </c>
      <c r="G586" s="52">
        <v>4.6193703734388164E-2</v>
      </c>
      <c r="H586" s="52">
        <v>8.2750687166047429E-2</v>
      </c>
      <c r="I586" s="119">
        <v>209.913016942056</v>
      </c>
    </row>
    <row r="587" spans="1:9" x14ac:dyDescent="0.3">
      <c r="A587" s="23">
        <v>569</v>
      </c>
      <c r="B587" s="52">
        <v>6.0009063520839095E-2</v>
      </c>
      <c r="C587" s="52">
        <v>0.26993730757753764</v>
      </c>
      <c r="D587" s="52">
        <v>0.7171651972673726</v>
      </c>
      <c r="E587" s="52">
        <v>0.18951611020738654</v>
      </c>
      <c r="F587" s="52">
        <v>9.3395729157583082E-2</v>
      </c>
      <c r="G587" s="52">
        <v>7.488123837869437E-2</v>
      </c>
      <c r="H587" s="52">
        <v>9.9940473123125956E-2</v>
      </c>
      <c r="I587" s="119">
        <v>844.51616014236333</v>
      </c>
    </row>
    <row r="588" spans="1:9" x14ac:dyDescent="0.3">
      <c r="A588" s="23">
        <v>570</v>
      </c>
      <c r="B588" s="52">
        <v>5.7666042654149013E-2</v>
      </c>
      <c r="C588" s="52">
        <v>0.29405051037882163</v>
      </c>
      <c r="D588" s="52">
        <v>0.60897501342165472</v>
      </c>
      <c r="E588" s="52">
        <v>0.18852624941858265</v>
      </c>
      <c r="F588" s="52">
        <v>0.10235001892888708</v>
      </c>
      <c r="G588" s="52">
        <v>4.2950630525845426E-2</v>
      </c>
      <c r="H588" s="52">
        <v>0.1064526432577417</v>
      </c>
      <c r="I588" s="119">
        <v>191.81937560630826</v>
      </c>
    </row>
    <row r="589" spans="1:9" x14ac:dyDescent="0.3">
      <c r="A589" s="23">
        <v>571</v>
      </c>
      <c r="B589" s="52">
        <v>5.257128347687836E-2</v>
      </c>
      <c r="C589" s="52">
        <v>0.27937845015889362</v>
      </c>
      <c r="D589" s="52">
        <v>0.53785120291481237</v>
      </c>
      <c r="E589" s="52">
        <v>0.16359418674628601</v>
      </c>
      <c r="F589" s="52">
        <v>9.4885071072277491E-2</v>
      </c>
      <c r="G589" s="52">
        <v>4.8532935369575057E-2</v>
      </c>
      <c r="H589" s="52">
        <v>9.0788003077005019E-2</v>
      </c>
      <c r="I589" s="119">
        <v>246.81466653860261</v>
      </c>
    </row>
    <row r="590" spans="1:9" x14ac:dyDescent="0.3">
      <c r="A590" s="23">
        <v>572</v>
      </c>
      <c r="B590" s="52">
        <v>5.7104960019579667E-2</v>
      </c>
      <c r="C590" s="52">
        <v>0.278687782812857</v>
      </c>
      <c r="D590" s="52">
        <v>0.61695972120315223</v>
      </c>
      <c r="E590" s="52">
        <v>0.15280582795164674</v>
      </c>
      <c r="F590" s="52">
        <v>0.10285613939915322</v>
      </c>
      <c r="G590" s="52">
        <v>4.3945037129147518E-2</v>
      </c>
      <c r="H590" s="52">
        <v>0.10363708022618598</v>
      </c>
      <c r="I590" s="119">
        <v>150.6099966986697</v>
      </c>
    </row>
    <row r="591" spans="1:9" x14ac:dyDescent="0.3">
      <c r="A591" s="23">
        <v>573</v>
      </c>
      <c r="B591" s="52">
        <v>6.6206714095631947E-2</v>
      </c>
      <c r="C591" s="52">
        <v>0.29852107501941277</v>
      </c>
      <c r="D591" s="52">
        <v>0.4970400449473234</v>
      </c>
      <c r="E591" s="52">
        <v>0.17830094572265118</v>
      </c>
      <c r="F591" s="52">
        <v>0.10045108951968024</v>
      </c>
      <c r="G591" s="52">
        <v>4.9656497362951718E-2</v>
      </c>
      <c r="H591" s="52">
        <v>9.684099552715103E-2</v>
      </c>
      <c r="I591" s="119">
        <v>286.85378354728681</v>
      </c>
    </row>
    <row r="592" spans="1:9" x14ac:dyDescent="0.3">
      <c r="A592" s="23">
        <v>574</v>
      </c>
      <c r="B592" s="52">
        <v>4.6240010532257632E-2</v>
      </c>
      <c r="C592" s="52">
        <v>0.28217664340281412</v>
      </c>
      <c r="D592" s="52">
        <v>0.45679147974838186</v>
      </c>
      <c r="E592" s="52">
        <v>0.18280474752486167</v>
      </c>
      <c r="F592" s="52">
        <v>9.7099332825959409E-2</v>
      </c>
      <c r="G592" s="52">
        <v>7.1841157234954767E-2</v>
      </c>
      <c r="H592" s="52">
        <v>0.1105745237563131</v>
      </c>
      <c r="I592" s="119">
        <v>587.84585818245773</v>
      </c>
    </row>
    <row r="593" spans="1:9" x14ac:dyDescent="0.3">
      <c r="A593" s="23">
        <v>575</v>
      </c>
      <c r="B593" s="52">
        <v>6.5272462587060653E-2</v>
      </c>
      <c r="C593" s="52">
        <v>0.28776254389621353</v>
      </c>
      <c r="D593" s="52">
        <v>0.53391784850526713</v>
      </c>
      <c r="E593" s="52">
        <v>0.20050448436777779</v>
      </c>
      <c r="F593" s="52">
        <v>9.790125023991493E-2</v>
      </c>
      <c r="G593" s="52">
        <v>4.6137829180997389E-2</v>
      </c>
      <c r="H593" s="52">
        <v>0.1139795834569213</v>
      </c>
      <c r="I593" s="119">
        <v>246.35902847816473</v>
      </c>
    </row>
    <row r="594" spans="1:9" x14ac:dyDescent="0.3">
      <c r="A594" s="23">
        <v>576</v>
      </c>
      <c r="B594" s="52">
        <v>6.4910955096762313E-2</v>
      </c>
      <c r="C594" s="52">
        <v>0.30274440165899297</v>
      </c>
      <c r="D594" s="52">
        <v>0.50326556352543683</v>
      </c>
      <c r="E594" s="52">
        <v>0.18925278525032146</v>
      </c>
      <c r="F594" s="52">
        <v>0.10033232608608003</v>
      </c>
      <c r="G594" s="52">
        <v>5.5918289732575517E-2</v>
      </c>
      <c r="H594" s="52">
        <v>0.10965030426742883</v>
      </c>
      <c r="I594" s="119">
        <v>364.34288336821305</v>
      </c>
    </row>
    <row r="595" spans="1:9" x14ac:dyDescent="0.3">
      <c r="A595" s="23">
        <v>577</v>
      </c>
      <c r="B595" s="52">
        <v>6.3811894504228028E-2</v>
      </c>
      <c r="C595" s="52">
        <v>0.27772120771953562</v>
      </c>
      <c r="D595" s="52">
        <v>0.67371231627506745</v>
      </c>
      <c r="E595" s="52">
        <v>0.20433587846115694</v>
      </c>
      <c r="F595" s="52">
        <v>9.1338674363896422E-2</v>
      </c>
      <c r="G595" s="52">
        <v>4.6940885342407111E-2</v>
      </c>
      <c r="H595" s="52">
        <v>9.6657260118087576E-2</v>
      </c>
      <c r="I595" s="119">
        <v>287.58360278027436</v>
      </c>
    </row>
    <row r="596" spans="1:9" x14ac:dyDescent="0.3">
      <c r="A596" s="23">
        <v>578</v>
      </c>
      <c r="B596" s="52">
        <v>6.2568797266786449E-2</v>
      </c>
      <c r="C596" s="52">
        <v>0.2586866128816665</v>
      </c>
      <c r="D596" s="52">
        <v>0.6146953600858357</v>
      </c>
      <c r="E596" s="52">
        <v>0.2252958690396791</v>
      </c>
      <c r="F596" s="52">
        <v>8.9180037603725226E-2</v>
      </c>
      <c r="G596" s="52">
        <v>5.5075372883537838E-2</v>
      </c>
      <c r="H596" s="52">
        <v>0.10366018661051225</v>
      </c>
      <c r="I596" s="119">
        <v>338.97502726084633</v>
      </c>
    </row>
    <row r="597" spans="1:9" x14ac:dyDescent="0.3">
      <c r="A597" s="23">
        <v>579</v>
      </c>
      <c r="B597" s="52">
        <v>5.2744441076510676E-2</v>
      </c>
      <c r="C597" s="52">
        <v>0.29440845364955159</v>
      </c>
      <c r="D597" s="52">
        <v>0.54816021714806329</v>
      </c>
      <c r="E597" s="52">
        <v>0.2073589279739306</v>
      </c>
      <c r="F597" s="52">
        <v>8.5852185761906438E-2</v>
      </c>
      <c r="G597" s="52">
        <v>4.4320473736773829E-2</v>
      </c>
      <c r="H597" s="52">
        <v>0.10641790919536337</v>
      </c>
      <c r="I597" s="119">
        <v>371.52045645721324</v>
      </c>
    </row>
    <row r="598" spans="1:9" x14ac:dyDescent="0.3">
      <c r="A598" s="23">
        <v>580</v>
      </c>
      <c r="B598" s="52">
        <v>5.2535990800800174E-2</v>
      </c>
      <c r="C598" s="52">
        <v>0.29442353613541017</v>
      </c>
      <c r="D598" s="52">
        <v>0.48463798159671445</v>
      </c>
      <c r="E598" s="52">
        <v>0.17910599991714407</v>
      </c>
      <c r="F598" s="52">
        <v>9.8230772611812789E-2</v>
      </c>
      <c r="G598" s="52">
        <v>5.8821925220983173E-2</v>
      </c>
      <c r="H598" s="52">
        <v>0.11467601561348494</v>
      </c>
      <c r="I598" s="119">
        <v>372.48902089835622</v>
      </c>
    </row>
    <row r="599" spans="1:9" x14ac:dyDescent="0.3">
      <c r="A599" s="23">
        <v>581</v>
      </c>
      <c r="B599" s="52">
        <v>5.9661912692042088E-2</v>
      </c>
      <c r="C599" s="52">
        <v>0.28102066349363408</v>
      </c>
      <c r="D599" s="52">
        <v>0.68724747828951549</v>
      </c>
      <c r="E599" s="52">
        <v>0.18412116859069161</v>
      </c>
      <c r="F599" s="52">
        <v>0.10275689735496384</v>
      </c>
      <c r="G599" s="52">
        <v>5.0203805270877935E-2</v>
      </c>
      <c r="H599" s="52">
        <v>0.12448421235258464</v>
      </c>
      <c r="I599" s="119">
        <v>201.55163428107241</v>
      </c>
    </row>
    <row r="600" spans="1:9" x14ac:dyDescent="0.3">
      <c r="A600" s="23">
        <v>582</v>
      </c>
      <c r="B600" s="52">
        <v>5.2465781527731924E-2</v>
      </c>
      <c r="C600" s="52">
        <v>0.28684484269893407</v>
      </c>
      <c r="D600" s="52">
        <v>0.52692670026372534</v>
      </c>
      <c r="E600" s="52">
        <v>0.20215234458577055</v>
      </c>
      <c r="F600" s="52">
        <v>0.1016016122984198</v>
      </c>
      <c r="G600" s="52">
        <v>4.5325180391124952E-2</v>
      </c>
      <c r="H600" s="52">
        <v>0.11291697683002304</v>
      </c>
      <c r="I600" s="119">
        <v>183.82514700533721</v>
      </c>
    </row>
    <row r="601" spans="1:9" x14ac:dyDescent="0.3">
      <c r="A601" s="23">
        <v>583</v>
      </c>
      <c r="B601" s="52">
        <v>6.2038584169378116E-2</v>
      </c>
      <c r="C601" s="52">
        <v>0.27492547598943701</v>
      </c>
      <c r="D601" s="52">
        <v>0.4905221693411897</v>
      </c>
      <c r="E601" s="52">
        <v>0.19707075573226765</v>
      </c>
      <c r="F601" s="52">
        <v>9.6950804306260713E-2</v>
      </c>
      <c r="G601" s="52">
        <v>5.0228364723032888E-2</v>
      </c>
      <c r="H601" s="52">
        <v>0.10264940610565151</v>
      </c>
      <c r="I601" s="119">
        <v>241.70323227005605</v>
      </c>
    </row>
    <row r="602" spans="1:9" x14ac:dyDescent="0.3">
      <c r="A602" s="23">
        <v>584</v>
      </c>
      <c r="B602" s="52">
        <v>6.350534517518043E-2</v>
      </c>
      <c r="C602" s="52">
        <v>0.29405098780407823</v>
      </c>
      <c r="D602" s="52">
        <v>0.56766287882807931</v>
      </c>
      <c r="E602" s="52">
        <v>0.17792255310968486</v>
      </c>
      <c r="F602" s="52">
        <v>0.10599372750153846</v>
      </c>
      <c r="G602" s="52">
        <v>5.1476037719056178E-2</v>
      </c>
      <c r="H602" s="52">
        <v>0.10221893284335112</v>
      </c>
      <c r="I602" s="119">
        <v>228.31971375852419</v>
      </c>
    </row>
    <row r="603" spans="1:9" x14ac:dyDescent="0.3">
      <c r="A603" s="23">
        <v>585</v>
      </c>
      <c r="B603" s="52">
        <v>5.9457741847103021E-2</v>
      </c>
      <c r="C603" s="52">
        <v>0.29527156577059122</v>
      </c>
      <c r="D603" s="52">
        <v>0.46709042243445409</v>
      </c>
      <c r="E603" s="52">
        <v>0.19603100583237648</v>
      </c>
      <c r="F603" s="52">
        <v>8.7160004632447774E-2</v>
      </c>
      <c r="G603" s="52">
        <v>5.926507378086588E-2</v>
      </c>
      <c r="H603" s="52">
        <v>0.11493337108792863</v>
      </c>
      <c r="I603" s="119">
        <v>657.70934070107035</v>
      </c>
    </row>
    <row r="604" spans="1:9" x14ac:dyDescent="0.3">
      <c r="A604" s="23">
        <v>586</v>
      </c>
      <c r="B604" s="52">
        <v>6.6107316678512801E-2</v>
      </c>
      <c r="C604" s="52">
        <v>0.30070776727131071</v>
      </c>
      <c r="D604" s="52">
        <v>0.50772186129751917</v>
      </c>
      <c r="E604" s="52">
        <v>0.17909714859627926</v>
      </c>
      <c r="F604" s="52">
        <v>9.4219299349848629E-2</v>
      </c>
      <c r="G604" s="52">
        <v>3.8399350582761255E-2</v>
      </c>
      <c r="H604" s="52">
        <v>0.10438263556527162</v>
      </c>
      <c r="I604" s="119">
        <v>263.5585938378029</v>
      </c>
    </row>
    <row r="605" spans="1:9" x14ac:dyDescent="0.3">
      <c r="A605" s="23">
        <v>587</v>
      </c>
      <c r="B605" s="52">
        <v>6.7052057815880667E-2</v>
      </c>
      <c r="C605" s="52">
        <v>0.28902973655778363</v>
      </c>
      <c r="D605" s="52">
        <v>0.64165271744923347</v>
      </c>
      <c r="E605" s="52">
        <v>0.18248666590091112</v>
      </c>
      <c r="F605" s="52">
        <v>9.7470027690042052E-2</v>
      </c>
      <c r="G605" s="52">
        <v>5.0910329195753765E-2</v>
      </c>
      <c r="H605" s="52">
        <v>9.6610115910361477E-2</v>
      </c>
      <c r="I605" s="119">
        <v>301.72188477234329</v>
      </c>
    </row>
    <row r="606" spans="1:9" x14ac:dyDescent="0.3">
      <c r="A606" s="23">
        <v>588</v>
      </c>
      <c r="B606" s="52">
        <v>8.0614580810973904E-2</v>
      </c>
      <c r="C606" s="52">
        <v>0.27730549297998464</v>
      </c>
      <c r="D606" s="52">
        <v>0.44468258567269003</v>
      </c>
      <c r="E606" s="52">
        <v>0.2026435495561342</v>
      </c>
      <c r="F606" s="52">
        <v>0.10160409946492562</v>
      </c>
      <c r="G606" s="52">
        <v>6.1036567774926762E-2</v>
      </c>
      <c r="H606" s="52">
        <v>0.11032415270884806</v>
      </c>
      <c r="I606" s="119">
        <v>344.54011237270788</v>
      </c>
    </row>
    <row r="607" spans="1:9" x14ac:dyDescent="0.3">
      <c r="A607" s="23">
        <v>589</v>
      </c>
      <c r="B607" s="52">
        <v>5.8386933526310518E-2</v>
      </c>
      <c r="C607" s="52">
        <v>0.27730784055606988</v>
      </c>
      <c r="D607" s="52">
        <v>0.55154897304782069</v>
      </c>
      <c r="E607" s="52">
        <v>0.17843849939911788</v>
      </c>
      <c r="F607" s="52">
        <v>9.7649732441066908E-2</v>
      </c>
      <c r="G607" s="52">
        <v>4.4866578348540812E-2</v>
      </c>
      <c r="H607" s="52">
        <v>0.10201343256963241</v>
      </c>
      <c r="I607" s="119">
        <v>194.2215044143982</v>
      </c>
    </row>
    <row r="608" spans="1:9" x14ac:dyDescent="0.3">
      <c r="A608" s="23">
        <v>590</v>
      </c>
      <c r="B608" s="52">
        <v>7.1213618947533724E-2</v>
      </c>
      <c r="C608" s="52">
        <v>0.30138966686647939</v>
      </c>
      <c r="D608" s="52">
        <v>0.4872276322290669</v>
      </c>
      <c r="E608" s="52">
        <v>0.16889303906891356</v>
      </c>
      <c r="F608" s="52">
        <v>9.9601437840217313E-2</v>
      </c>
      <c r="G608" s="52">
        <v>4.2639767979537078E-2</v>
      </c>
      <c r="H608" s="52">
        <v>0.11166213484803575</v>
      </c>
      <c r="I608" s="119">
        <v>257.27568819180431</v>
      </c>
    </row>
    <row r="609" spans="1:9" x14ac:dyDescent="0.3">
      <c r="A609" s="23">
        <v>591</v>
      </c>
      <c r="B609" s="52">
        <v>5.8341557685547489E-2</v>
      </c>
      <c r="C609" s="52">
        <v>0.2721680351457712</v>
      </c>
      <c r="D609" s="52">
        <v>0.67281893188580744</v>
      </c>
      <c r="E609" s="52">
        <v>0.18758800885993809</v>
      </c>
      <c r="F609" s="52">
        <v>9.4738480075674397E-2</v>
      </c>
      <c r="G609" s="52">
        <v>5.1443640750829453E-2</v>
      </c>
      <c r="H609" s="52">
        <v>0.11423995906452941</v>
      </c>
      <c r="I609" s="119">
        <v>261.56601522010669</v>
      </c>
    </row>
    <row r="610" spans="1:9" x14ac:dyDescent="0.3">
      <c r="A610" s="23">
        <v>592</v>
      </c>
      <c r="B610" s="52">
        <v>5.603120195128497E-2</v>
      </c>
      <c r="C610" s="52">
        <v>0.28748100527599529</v>
      </c>
      <c r="D610" s="52">
        <v>0.6507205110808747</v>
      </c>
      <c r="E610" s="52">
        <v>0.20216654858878053</v>
      </c>
      <c r="F610" s="52">
        <v>9.6157687413659085E-2</v>
      </c>
      <c r="G610" s="52">
        <v>4.4248927831572554E-2</v>
      </c>
      <c r="H610" s="52">
        <v>0.11254070312445938</v>
      </c>
      <c r="I610" s="119">
        <v>230.71775297038781</v>
      </c>
    </row>
    <row r="611" spans="1:9" x14ac:dyDescent="0.3">
      <c r="A611" s="23">
        <v>593</v>
      </c>
      <c r="B611" s="52">
        <v>6.3700260404785963E-2</v>
      </c>
      <c r="C611" s="52">
        <v>0.24395146109538235</v>
      </c>
      <c r="D611" s="52">
        <v>0.63009155966554409</v>
      </c>
      <c r="E611" s="52">
        <v>0.20026291913225933</v>
      </c>
      <c r="F611" s="52">
        <v>8.4945807618160771E-2</v>
      </c>
      <c r="G611" s="52">
        <v>4.070808513752619E-2</v>
      </c>
      <c r="H611" s="52">
        <v>0.11226204764576166</v>
      </c>
      <c r="I611" s="119">
        <v>171.47193427276133</v>
      </c>
    </row>
    <row r="612" spans="1:9" x14ac:dyDescent="0.3">
      <c r="A612" s="23">
        <v>594</v>
      </c>
      <c r="B612" s="52">
        <v>6.7212417628796289E-2</v>
      </c>
      <c r="C612" s="52">
        <v>0.27749629717159885</v>
      </c>
      <c r="D612" s="52">
        <v>0.51413338866855063</v>
      </c>
      <c r="E612" s="52">
        <v>0.18522130527066163</v>
      </c>
      <c r="F612" s="52">
        <v>0.1089296169885402</v>
      </c>
      <c r="G612" s="52">
        <v>4.1343938882250339E-2</v>
      </c>
      <c r="H612" s="52">
        <v>0.11824114416365403</v>
      </c>
      <c r="I612" s="119">
        <v>111.14520900509919</v>
      </c>
    </row>
    <row r="613" spans="1:9" x14ac:dyDescent="0.3">
      <c r="A613" s="23">
        <v>595</v>
      </c>
      <c r="B613" s="52">
        <v>5.3640534893527297E-2</v>
      </c>
      <c r="C613" s="52">
        <v>0.27259496809397299</v>
      </c>
      <c r="D613" s="52">
        <v>0.43665247979501054</v>
      </c>
      <c r="E613" s="52">
        <v>0.19234321515627884</v>
      </c>
      <c r="F613" s="52">
        <v>9.5160671745633044E-2</v>
      </c>
      <c r="G613" s="52">
        <v>6.7966293271036107E-2</v>
      </c>
      <c r="H613" s="52">
        <v>0.11170137621480046</v>
      </c>
      <c r="I613" s="119">
        <v>509.5235904578613</v>
      </c>
    </row>
    <row r="614" spans="1:9" x14ac:dyDescent="0.3">
      <c r="A614" s="23">
        <v>596</v>
      </c>
      <c r="B614" s="52">
        <v>7.7685548258957265E-2</v>
      </c>
      <c r="C614" s="52">
        <v>0.29203517672649376</v>
      </c>
      <c r="D614" s="52">
        <v>0.45225757647315851</v>
      </c>
      <c r="E614" s="52">
        <v>0.1741863859794453</v>
      </c>
      <c r="F614" s="52">
        <v>9.8506227646754846E-2</v>
      </c>
      <c r="G614" s="52">
        <v>3.5130018188792071E-2</v>
      </c>
      <c r="H614" s="52">
        <v>0.10971215995591596</v>
      </c>
      <c r="I614" s="119">
        <v>200.67109933039825</v>
      </c>
    </row>
    <row r="615" spans="1:9" x14ac:dyDescent="0.3">
      <c r="A615" s="23">
        <v>597</v>
      </c>
      <c r="B615" s="52">
        <v>6.2584185038806001E-2</v>
      </c>
      <c r="C615" s="52">
        <v>0.28347426680417748</v>
      </c>
      <c r="D615" s="52">
        <v>0.54768152116160529</v>
      </c>
      <c r="E615" s="52">
        <v>0.20363405795790462</v>
      </c>
      <c r="F615" s="52">
        <v>9.5209086885372773E-2</v>
      </c>
      <c r="G615" s="52">
        <v>5.0787712168680027E-2</v>
      </c>
      <c r="H615" s="52">
        <v>0.10706071511453602</v>
      </c>
      <c r="I615" s="119">
        <v>298.93641283258432</v>
      </c>
    </row>
    <row r="616" spans="1:9" x14ac:dyDescent="0.3">
      <c r="A616" s="23">
        <v>598</v>
      </c>
      <c r="B616" s="52">
        <v>4.5910808199287396E-2</v>
      </c>
      <c r="C616" s="52">
        <v>0.29711353161889759</v>
      </c>
      <c r="D616" s="52">
        <v>0.55050223441609081</v>
      </c>
      <c r="E616" s="52">
        <v>0.20151209165761894</v>
      </c>
      <c r="F616" s="52">
        <v>9.9438447009924977E-2</v>
      </c>
      <c r="G616" s="52">
        <v>4.2066792592840546E-2</v>
      </c>
      <c r="H616" s="52">
        <v>0.10770044806310917</v>
      </c>
      <c r="I616" s="119">
        <v>198.00784938428956</v>
      </c>
    </row>
    <row r="617" spans="1:9" x14ac:dyDescent="0.3">
      <c r="A617" s="23">
        <v>599</v>
      </c>
      <c r="B617" s="52">
        <v>8.2101118333847867E-2</v>
      </c>
      <c r="C617" s="52">
        <v>0.30257174010782795</v>
      </c>
      <c r="D617" s="52">
        <v>0.45405217112208202</v>
      </c>
      <c r="E617" s="52">
        <v>0.22453858092023721</v>
      </c>
      <c r="F617" s="52">
        <v>8.3947209046894469E-2</v>
      </c>
      <c r="G617" s="52">
        <v>5.4041794168373014E-2</v>
      </c>
      <c r="H617" s="52">
        <v>0.11574327427364776</v>
      </c>
      <c r="I617" s="119">
        <v>733.02549968775691</v>
      </c>
    </row>
    <row r="618" spans="1:9" x14ac:dyDescent="0.3">
      <c r="A618" s="23">
        <v>600</v>
      </c>
      <c r="B618" s="52">
        <v>6.4665622034885378E-2</v>
      </c>
      <c r="C618" s="52">
        <v>0.27827149233168041</v>
      </c>
      <c r="D618" s="52">
        <v>0.49474056852448689</v>
      </c>
      <c r="E618" s="52">
        <v>0.20736676313759481</v>
      </c>
      <c r="F618" s="52">
        <v>9.9302620749722736E-2</v>
      </c>
      <c r="G618" s="52">
        <v>4.8971511132702261E-2</v>
      </c>
      <c r="H618" s="52">
        <v>9.1376656825200672E-2</v>
      </c>
      <c r="I618" s="119">
        <v>223.37253577970955</v>
      </c>
    </row>
    <row r="619" spans="1:9" x14ac:dyDescent="0.3">
      <c r="A619" s="23">
        <v>601</v>
      </c>
      <c r="B619" s="52">
        <v>7.0730111292165929E-2</v>
      </c>
      <c r="C619" s="52">
        <v>0.29792665758707537</v>
      </c>
      <c r="D619" s="52">
        <v>0.51598020362400832</v>
      </c>
      <c r="E619" s="52">
        <v>0.20814161220275185</v>
      </c>
      <c r="F619" s="52">
        <v>9.1523247785535916E-2</v>
      </c>
      <c r="G619" s="52">
        <v>3.7856064193229094E-2</v>
      </c>
      <c r="H619" s="52">
        <v>0.10392827797064777</v>
      </c>
      <c r="I619" s="119">
        <v>285.5986408683541</v>
      </c>
    </row>
    <row r="620" spans="1:9" x14ac:dyDescent="0.3">
      <c r="A620" s="23">
        <v>602</v>
      </c>
      <c r="B620" s="52">
        <v>5.4804016615133247E-2</v>
      </c>
      <c r="C620" s="52">
        <v>0.2941224971633104</v>
      </c>
      <c r="D620" s="52">
        <v>0.51093031148182166</v>
      </c>
      <c r="E620" s="52">
        <v>0.19238173310669845</v>
      </c>
      <c r="F620" s="52">
        <v>9.9842153714732484E-2</v>
      </c>
      <c r="G620" s="52">
        <v>4.3702201424233054E-2</v>
      </c>
      <c r="H620" s="52">
        <v>0.11052073176417206</v>
      </c>
      <c r="I620" s="119">
        <v>211.99519959262105</v>
      </c>
    </row>
    <row r="621" spans="1:9" x14ac:dyDescent="0.3">
      <c r="A621" s="23">
        <v>603</v>
      </c>
      <c r="B621" s="52">
        <v>5.6619172452263368E-2</v>
      </c>
      <c r="C621" s="52">
        <v>0.27374055244807088</v>
      </c>
      <c r="D621" s="52">
        <v>0.64941355365322684</v>
      </c>
      <c r="E621" s="52">
        <v>0.20614693467775458</v>
      </c>
      <c r="F621" s="52">
        <v>9.4585041626622485E-2</v>
      </c>
      <c r="G621" s="52">
        <v>5.2913303874124115E-2</v>
      </c>
      <c r="H621" s="52">
        <v>0.11157843872954237</v>
      </c>
      <c r="I621" s="119">
        <v>281.60971870234744</v>
      </c>
    </row>
    <row r="622" spans="1:9" x14ac:dyDescent="0.3">
      <c r="A622" s="23">
        <v>604</v>
      </c>
      <c r="B622" s="52">
        <v>5.7290869213455213E-2</v>
      </c>
      <c r="C622" s="52">
        <v>0.27255018261218833</v>
      </c>
      <c r="D622" s="52">
        <v>0.63269875763824501</v>
      </c>
      <c r="E622" s="52">
        <v>0.18079084064371018</v>
      </c>
      <c r="F622" s="52">
        <v>9.9844352017815524E-2</v>
      </c>
      <c r="G622" s="52">
        <v>4.7797647212736369E-2</v>
      </c>
      <c r="H622" s="52">
        <v>8.7154871955639271E-2</v>
      </c>
      <c r="I622" s="119">
        <v>179.59200249387675</v>
      </c>
    </row>
    <row r="623" spans="1:9" x14ac:dyDescent="0.3">
      <c r="A623" s="23">
        <v>605</v>
      </c>
      <c r="B623" s="52">
        <v>5.6521674669008426E-2</v>
      </c>
      <c r="C623" s="52">
        <v>0.26021759848913056</v>
      </c>
      <c r="D623" s="52">
        <v>0.49480143246419866</v>
      </c>
      <c r="E623" s="52">
        <v>0.18886334498834811</v>
      </c>
      <c r="F623" s="52">
        <v>0.10137925394782282</v>
      </c>
      <c r="G623" s="52">
        <v>4.3807195302649468E-2</v>
      </c>
      <c r="H623" s="52">
        <v>8.8960389542505305E-2</v>
      </c>
      <c r="I623" s="119">
        <v>107.19268369664057</v>
      </c>
    </row>
    <row r="624" spans="1:9" x14ac:dyDescent="0.3">
      <c r="A624" s="23">
        <v>606</v>
      </c>
      <c r="B624" s="52">
        <v>4.742125837451984E-2</v>
      </c>
      <c r="C624" s="52">
        <v>0.27330513043780524</v>
      </c>
      <c r="D624" s="52">
        <v>0.4850848883445647</v>
      </c>
      <c r="E624" s="52">
        <v>0.18161525427793998</v>
      </c>
      <c r="F624" s="52">
        <v>9.3921717597588855E-2</v>
      </c>
      <c r="G624" s="52">
        <v>4.1364072265624621E-2</v>
      </c>
      <c r="H624" s="52">
        <v>9.6645409851493225E-2</v>
      </c>
      <c r="I624" s="119">
        <v>171.91628193811439</v>
      </c>
    </row>
    <row r="625" spans="1:9" x14ac:dyDescent="0.3">
      <c r="A625" s="23">
        <v>607</v>
      </c>
      <c r="B625" s="52">
        <v>5.6805788404054591E-2</v>
      </c>
      <c r="C625" s="52">
        <v>0.29732167701103013</v>
      </c>
      <c r="D625" s="52">
        <v>0.55218569927399352</v>
      </c>
      <c r="E625" s="52">
        <v>0.20853883562601747</v>
      </c>
      <c r="F625" s="52">
        <v>8.4627307534527949E-2</v>
      </c>
      <c r="G625" s="52">
        <v>6.5603549749321213E-2</v>
      </c>
      <c r="H625" s="52">
        <v>0.10120798296041959</v>
      </c>
      <c r="I625" s="119">
        <v>1055.4309408461152</v>
      </c>
    </row>
    <row r="626" spans="1:9" x14ac:dyDescent="0.3">
      <c r="A626" s="23">
        <v>608</v>
      </c>
      <c r="B626" s="52">
        <v>6.2358334855671466E-2</v>
      </c>
      <c r="C626" s="52">
        <v>0.26827118404994238</v>
      </c>
      <c r="D626" s="52">
        <v>0.60490697526792503</v>
      </c>
      <c r="E626" s="52">
        <v>0.19376019749190157</v>
      </c>
      <c r="F626" s="52">
        <v>0.1002948135219616</v>
      </c>
      <c r="G626" s="52">
        <v>4.8466010887597319E-2</v>
      </c>
      <c r="H626" s="52">
        <v>0.10912415802091971</v>
      </c>
      <c r="I626" s="119">
        <v>174.76911866711836</v>
      </c>
    </row>
    <row r="627" spans="1:9" x14ac:dyDescent="0.3">
      <c r="A627" s="23">
        <v>609</v>
      </c>
      <c r="B627" s="52">
        <v>7.0899944975831283E-2</v>
      </c>
      <c r="C627" s="52">
        <v>0.28499908764805409</v>
      </c>
      <c r="D627" s="52">
        <v>0.59272590519958557</v>
      </c>
      <c r="E627" s="52">
        <v>0.19478940852955562</v>
      </c>
      <c r="F627" s="52">
        <v>9.4836878564366595E-2</v>
      </c>
      <c r="G627" s="52">
        <v>4.476303994280733E-2</v>
      </c>
      <c r="H627" s="52">
        <v>0.12309078615960686</v>
      </c>
      <c r="I627" s="119">
        <v>266.98744900609933</v>
      </c>
    </row>
    <row r="628" spans="1:9" x14ac:dyDescent="0.3">
      <c r="A628" s="23">
        <v>610</v>
      </c>
      <c r="B628" s="52">
        <v>6.6546248752792289E-2</v>
      </c>
      <c r="C628" s="52">
        <v>0.28323988224186236</v>
      </c>
      <c r="D628" s="52">
        <v>0.44995288316606846</v>
      </c>
      <c r="E628" s="52">
        <v>0.18829718524790406</v>
      </c>
      <c r="F628" s="52">
        <v>9.9260040091770807E-2</v>
      </c>
      <c r="G628" s="52">
        <v>4.4830201299605264E-2</v>
      </c>
      <c r="H628" s="52">
        <v>0.1071309996386611</v>
      </c>
      <c r="I628" s="119">
        <v>211.91572869279628</v>
      </c>
    </row>
    <row r="629" spans="1:9" x14ac:dyDescent="0.3">
      <c r="A629" s="23">
        <v>611</v>
      </c>
      <c r="B629" s="52">
        <v>5.2216133799326207E-2</v>
      </c>
      <c r="C629" s="52">
        <v>0.28465511728659287</v>
      </c>
      <c r="D629" s="52">
        <v>0.476782023173354</v>
      </c>
      <c r="E629" s="52">
        <v>0.20883964628744509</v>
      </c>
      <c r="F629" s="52">
        <v>8.9260095207945964E-2</v>
      </c>
      <c r="G629" s="52">
        <v>5.1650303931904354E-2</v>
      </c>
      <c r="H629" s="52">
        <v>0.10294071220751963</v>
      </c>
      <c r="I629" s="119">
        <v>377.70929541040618</v>
      </c>
    </row>
    <row r="630" spans="1:9" x14ac:dyDescent="0.3">
      <c r="A630" s="23">
        <v>612</v>
      </c>
      <c r="B630" s="52">
        <v>7.1826262190992363E-2</v>
      </c>
      <c r="C630" s="52">
        <v>0.27606001115414958</v>
      </c>
      <c r="D630" s="52">
        <v>0.57753025879521946</v>
      </c>
      <c r="E630" s="52">
        <v>0.20177457510213306</v>
      </c>
      <c r="F630" s="52">
        <v>0.10355500541212495</v>
      </c>
      <c r="G630" s="52">
        <v>5.1102497465481553E-2</v>
      </c>
      <c r="H630" s="52">
        <v>0.11287752331643849</v>
      </c>
      <c r="I630" s="119">
        <v>205.26333566972954</v>
      </c>
    </row>
    <row r="631" spans="1:9" x14ac:dyDescent="0.3">
      <c r="A631" s="23">
        <v>613</v>
      </c>
      <c r="B631" s="52">
        <v>6.8516701606141484E-2</v>
      </c>
      <c r="C631" s="52">
        <v>0.26589908367718967</v>
      </c>
      <c r="D631" s="52">
        <v>0.50863466315152084</v>
      </c>
      <c r="E631" s="52">
        <v>0.19025925793593901</v>
      </c>
      <c r="F631" s="52">
        <v>9.4743133444978367E-2</v>
      </c>
      <c r="G631" s="52">
        <v>5.9420992632333622E-2</v>
      </c>
      <c r="H631" s="52">
        <v>9.9245049792774265E-2</v>
      </c>
      <c r="I631" s="119">
        <v>355.2601378674413</v>
      </c>
    </row>
    <row r="632" spans="1:9" x14ac:dyDescent="0.3">
      <c r="A632" s="23">
        <v>614</v>
      </c>
      <c r="B632" s="52">
        <v>7.8854453993718751E-2</v>
      </c>
      <c r="C632" s="52">
        <v>0.28314922310133089</v>
      </c>
      <c r="D632" s="52">
        <v>0.52820364351961158</v>
      </c>
      <c r="E632" s="52">
        <v>0.20872422912308475</v>
      </c>
      <c r="F632" s="52">
        <v>7.8592658067882917E-2</v>
      </c>
      <c r="G632" s="52">
        <v>6.1811923298809725E-2</v>
      </c>
      <c r="H632" s="52">
        <v>0.10368807364092036</v>
      </c>
      <c r="I632" s="119">
        <v>1243.2452937358162</v>
      </c>
    </row>
    <row r="633" spans="1:9" x14ac:dyDescent="0.3">
      <c r="A633" s="23">
        <v>615</v>
      </c>
      <c r="B633" s="52">
        <v>6.8891509657257682E-2</v>
      </c>
      <c r="C633" s="52">
        <v>0.27333527070862529</v>
      </c>
      <c r="D633" s="52">
        <v>0.48502266019604623</v>
      </c>
      <c r="E633" s="52">
        <v>0.19948350390110919</v>
      </c>
      <c r="F633" s="52">
        <v>8.9056716193871233E-2</v>
      </c>
      <c r="G633" s="52">
        <v>4.2072164285539296E-2</v>
      </c>
      <c r="H633" s="52">
        <v>0.10681798813080143</v>
      </c>
      <c r="I633" s="119">
        <v>259.74658249057109</v>
      </c>
    </row>
    <row r="634" spans="1:9" x14ac:dyDescent="0.3">
      <c r="A634" s="23">
        <v>616</v>
      </c>
      <c r="B634" s="52">
        <v>6.7134035679705592E-2</v>
      </c>
      <c r="C634" s="52">
        <v>0.25805440975208233</v>
      </c>
      <c r="D634" s="52">
        <v>0.50769221452662572</v>
      </c>
      <c r="E634" s="52">
        <v>0.20705705442583294</v>
      </c>
      <c r="F634" s="52">
        <v>0.1040180926291614</v>
      </c>
      <c r="G634" s="52">
        <v>5.4261034631524305E-2</v>
      </c>
      <c r="H634" s="52">
        <v>0.11843867454981363</v>
      </c>
      <c r="I634" s="119">
        <v>157.6695249599133</v>
      </c>
    </row>
    <row r="635" spans="1:9" x14ac:dyDescent="0.3">
      <c r="A635" s="23">
        <v>617</v>
      </c>
      <c r="B635" s="52">
        <v>8.4930429711578589E-2</v>
      </c>
      <c r="C635" s="52">
        <v>0.28814969348214192</v>
      </c>
      <c r="D635" s="52">
        <v>0.48586575167208901</v>
      </c>
      <c r="E635" s="52">
        <v>0.18634086940643613</v>
      </c>
      <c r="F635" s="52">
        <v>7.9969131429203921E-2</v>
      </c>
      <c r="G635" s="52">
        <v>4.1413633796936793E-2</v>
      </c>
      <c r="H635" s="52">
        <v>0.10374331255656663</v>
      </c>
      <c r="I635" s="119">
        <v>483.67078808263727</v>
      </c>
    </row>
    <row r="636" spans="1:9" x14ac:dyDescent="0.3">
      <c r="A636" s="23">
        <v>618</v>
      </c>
      <c r="B636" s="52">
        <v>6.349620691847771E-2</v>
      </c>
      <c r="C636" s="52">
        <v>0.29015496088409143</v>
      </c>
      <c r="D636" s="52">
        <v>0.45381064074828781</v>
      </c>
      <c r="E636" s="52">
        <v>0.1911301053053647</v>
      </c>
      <c r="F636" s="52">
        <v>9.9484361014382572E-2</v>
      </c>
      <c r="G636" s="52">
        <v>5.0497334695301849E-2</v>
      </c>
      <c r="H636" s="52">
        <v>9.8860589847116598E-2</v>
      </c>
      <c r="I636" s="119">
        <v>271.74632958776255</v>
      </c>
    </row>
    <row r="637" spans="1:9" x14ac:dyDescent="0.3">
      <c r="A637" s="23">
        <v>619</v>
      </c>
      <c r="B637" s="52">
        <v>5.4117319662932151E-2</v>
      </c>
      <c r="C637" s="52">
        <v>0.30201331536637283</v>
      </c>
      <c r="D637" s="52">
        <v>0.44829818955511691</v>
      </c>
      <c r="E637" s="52">
        <v>0.16816858456261366</v>
      </c>
      <c r="F637" s="52">
        <v>0.10272628291341181</v>
      </c>
      <c r="G637" s="52">
        <v>4.49081660252637E-2</v>
      </c>
      <c r="H637" s="52">
        <v>0.11357674467003986</v>
      </c>
      <c r="I637" s="119">
        <v>217.36307282688432</v>
      </c>
    </row>
    <row r="638" spans="1:9" x14ac:dyDescent="0.3">
      <c r="A638" s="23">
        <v>620</v>
      </c>
      <c r="B638" s="52">
        <v>6.1627565231820954E-2</v>
      </c>
      <c r="C638" s="52">
        <v>0.25288006551541059</v>
      </c>
      <c r="D638" s="52">
        <v>0.67894702547423724</v>
      </c>
      <c r="E638" s="52">
        <v>0.16668629838641993</v>
      </c>
      <c r="F638" s="52">
        <v>0.10070906145581765</v>
      </c>
      <c r="G638" s="52">
        <v>4.5708813677204363E-2</v>
      </c>
      <c r="H638" s="52">
        <v>0.10362938184289054</v>
      </c>
      <c r="I638" s="119">
        <v>106.39578443978249</v>
      </c>
    </row>
    <row r="639" spans="1:9" x14ac:dyDescent="0.3">
      <c r="A639" s="23">
        <v>621</v>
      </c>
      <c r="B639" s="52">
        <v>6.723606422215736E-2</v>
      </c>
      <c r="C639" s="52">
        <v>0.29785978990589351</v>
      </c>
      <c r="D639" s="52">
        <v>0.44618094224498345</v>
      </c>
      <c r="E639" s="52">
        <v>0.19532105363195579</v>
      </c>
      <c r="F639" s="52">
        <v>7.8674803644313146E-2</v>
      </c>
      <c r="G639" s="52">
        <v>4.1535610793458438E-2</v>
      </c>
      <c r="H639" s="52">
        <v>0.11111691289364389</v>
      </c>
      <c r="I639" s="119">
        <v>508.28877628211092</v>
      </c>
    </row>
    <row r="640" spans="1:9" x14ac:dyDescent="0.3">
      <c r="A640" s="23">
        <v>622</v>
      </c>
      <c r="B640" s="52">
        <v>6.2715137394171838E-2</v>
      </c>
      <c r="C640" s="52">
        <v>0.30963728060282952</v>
      </c>
      <c r="D640" s="52">
        <v>0.50495611442255606</v>
      </c>
      <c r="E640" s="52">
        <v>0.18193887110223803</v>
      </c>
      <c r="F640" s="52">
        <v>0.10304594056049718</v>
      </c>
      <c r="G640" s="52">
        <v>5.8982360776950765E-2</v>
      </c>
      <c r="H640" s="52">
        <v>9.0037233552334714E-2</v>
      </c>
      <c r="I640" s="119">
        <v>382.59399768824272</v>
      </c>
    </row>
    <row r="641" spans="1:9" x14ac:dyDescent="0.3">
      <c r="A641" s="23">
        <v>623</v>
      </c>
      <c r="B641" s="52">
        <v>5.6067248879320332E-2</v>
      </c>
      <c r="C641" s="52">
        <v>0.29703815297206682</v>
      </c>
      <c r="D641" s="52">
        <v>0.6064149032393914</v>
      </c>
      <c r="E641" s="52">
        <v>0.18066848480433126</v>
      </c>
      <c r="F641" s="52">
        <v>0.10037551428459407</v>
      </c>
      <c r="G641" s="52">
        <v>6.8718319277200263E-2</v>
      </c>
      <c r="H641" s="52">
        <v>9.7278553261443051E-2</v>
      </c>
      <c r="I641" s="119">
        <v>521.6237483544113</v>
      </c>
    </row>
    <row r="642" spans="1:9" x14ac:dyDescent="0.3">
      <c r="A642" s="23">
        <v>624</v>
      </c>
      <c r="B642" s="52">
        <v>6.589967228380364E-2</v>
      </c>
      <c r="C642" s="52">
        <v>0.28052614498202921</v>
      </c>
      <c r="D642" s="52">
        <v>0.51873402775469424</v>
      </c>
      <c r="E642" s="52">
        <v>0.2053258991883925</v>
      </c>
      <c r="F642" s="52">
        <v>8.9925082318122629E-2</v>
      </c>
      <c r="G642" s="52">
        <v>4.2276030539617156E-2</v>
      </c>
      <c r="H642" s="52">
        <v>0.1024276768574621</v>
      </c>
      <c r="I642" s="119">
        <v>272.50847798488866</v>
      </c>
    </row>
    <row r="643" spans="1:9" x14ac:dyDescent="0.3">
      <c r="A643" s="23">
        <v>625</v>
      </c>
      <c r="B643" s="52">
        <v>6.9946111544164899E-2</v>
      </c>
      <c r="C643" s="52">
        <v>0.28092645042820835</v>
      </c>
      <c r="D643" s="52">
        <v>0.54958673696236637</v>
      </c>
      <c r="E643" s="52">
        <v>0.19156594349978126</v>
      </c>
      <c r="F643" s="52">
        <v>9.7776383400147229E-2</v>
      </c>
      <c r="G643" s="52">
        <v>5.2488242152256899E-2</v>
      </c>
      <c r="H643" s="52">
        <v>9.246003041923305E-2</v>
      </c>
      <c r="I643" s="119">
        <v>290.3816613277412</v>
      </c>
    </row>
    <row r="644" spans="1:9" x14ac:dyDescent="0.3">
      <c r="A644" s="23">
        <v>626</v>
      </c>
      <c r="B644" s="52">
        <v>6.3396991280710469E-2</v>
      </c>
      <c r="C644" s="52">
        <v>0.2767757440263639</v>
      </c>
      <c r="D644" s="52">
        <v>0.50417801794638883</v>
      </c>
      <c r="E644" s="52">
        <v>0.20902586771518192</v>
      </c>
      <c r="F644" s="52">
        <v>0.1023623242359674</v>
      </c>
      <c r="G644" s="52">
        <v>6.0653521583692076E-2</v>
      </c>
      <c r="H644" s="52">
        <v>0.10477267952101862</v>
      </c>
      <c r="I644" s="119">
        <v>291.59695519754342</v>
      </c>
    </row>
    <row r="645" spans="1:9" x14ac:dyDescent="0.3">
      <c r="A645" s="23">
        <v>627</v>
      </c>
      <c r="B645" s="52">
        <v>6.484817706520124E-2</v>
      </c>
      <c r="C645" s="52">
        <v>0.29765283905258921</v>
      </c>
      <c r="D645" s="52">
        <v>0.63535633115139778</v>
      </c>
      <c r="E645" s="52">
        <v>0.1959372694005507</v>
      </c>
      <c r="F645" s="52">
        <v>0.1022672705554076</v>
      </c>
      <c r="G645" s="52">
        <v>6.1753751719835825E-2</v>
      </c>
      <c r="H645" s="52">
        <v>0.10612028382713232</v>
      </c>
      <c r="I645" s="119">
        <v>390.42277017552561</v>
      </c>
    </row>
    <row r="646" spans="1:9" x14ac:dyDescent="0.3">
      <c r="A646" s="23">
        <v>628</v>
      </c>
      <c r="B646" s="52">
        <v>6.6071246463767469E-2</v>
      </c>
      <c r="C646" s="52">
        <v>0.28363476306943952</v>
      </c>
      <c r="D646" s="52">
        <v>0.50190408189266278</v>
      </c>
      <c r="E646" s="52">
        <v>0.20380633171779128</v>
      </c>
      <c r="F646" s="52">
        <v>9.0640442280577965E-2</v>
      </c>
      <c r="G646" s="52">
        <v>5.1437051961019539E-2</v>
      </c>
      <c r="H646" s="52">
        <v>0.11589791708443967</v>
      </c>
      <c r="I646" s="119">
        <v>380.17376615447978</v>
      </c>
    </row>
    <row r="647" spans="1:9" x14ac:dyDescent="0.3">
      <c r="A647" s="23">
        <v>629</v>
      </c>
      <c r="B647" s="52">
        <v>6.8796395654133827E-2</v>
      </c>
      <c r="C647" s="52">
        <v>0.2740927353531884</v>
      </c>
      <c r="D647" s="52">
        <v>0.60620573065258565</v>
      </c>
      <c r="E647" s="52">
        <v>0.20136238476390414</v>
      </c>
      <c r="F647" s="52">
        <v>0.10045951938443727</v>
      </c>
      <c r="G647" s="52">
        <v>7.466764004323638E-2</v>
      </c>
      <c r="H647" s="52">
        <v>0.1171713997441584</v>
      </c>
      <c r="I647" s="119">
        <v>587.03374592966861</v>
      </c>
    </row>
    <row r="648" spans="1:9" x14ac:dyDescent="0.3">
      <c r="A648" s="23">
        <v>630</v>
      </c>
      <c r="B648" s="52">
        <v>8.3974030246937822E-2</v>
      </c>
      <c r="C648" s="52">
        <v>0.28932915063273074</v>
      </c>
      <c r="D648" s="52">
        <v>0.50619313523121823</v>
      </c>
      <c r="E648" s="52">
        <v>0.21348613319597184</v>
      </c>
      <c r="F648" s="52">
        <v>8.5834189869374744E-2</v>
      </c>
      <c r="G648" s="52">
        <v>4.6329798619775778E-2</v>
      </c>
      <c r="H648" s="52">
        <v>0.11726881296763539</v>
      </c>
      <c r="I648" s="119">
        <v>456.36496317292654</v>
      </c>
    </row>
    <row r="649" spans="1:9" x14ac:dyDescent="0.3">
      <c r="A649" s="23">
        <v>631</v>
      </c>
      <c r="B649" s="52">
        <v>6.7024115710075299E-2</v>
      </c>
      <c r="C649" s="52">
        <v>0.27750347512926449</v>
      </c>
      <c r="D649" s="52">
        <v>0.46922138669569174</v>
      </c>
      <c r="E649" s="52">
        <v>0.18972918307591252</v>
      </c>
      <c r="F649" s="52">
        <v>9.7966804827034251E-2</v>
      </c>
      <c r="G649" s="52">
        <v>5.3126110521195077E-2</v>
      </c>
      <c r="H649" s="52">
        <v>0.11338367026257186</v>
      </c>
      <c r="I649" s="119">
        <v>276.24673545194145</v>
      </c>
    </row>
    <row r="650" spans="1:9" x14ac:dyDescent="0.3">
      <c r="A650" s="23">
        <v>632</v>
      </c>
      <c r="B650" s="52">
        <v>5.8355638238902857E-2</v>
      </c>
      <c r="C650" s="52">
        <v>0.26375543874743013</v>
      </c>
      <c r="D650" s="52">
        <v>0.5310697681846952</v>
      </c>
      <c r="E650" s="52">
        <v>0.17429495840021178</v>
      </c>
      <c r="F650" s="52">
        <v>9.8761947439810815E-2</v>
      </c>
      <c r="G650" s="52">
        <v>4.7760573037966936E-2</v>
      </c>
      <c r="H650" s="52">
        <v>0.1118941092849382</v>
      </c>
      <c r="I650" s="119">
        <v>162.32367055115603</v>
      </c>
    </row>
    <row r="651" spans="1:9" x14ac:dyDescent="0.3">
      <c r="A651" s="23">
        <v>633</v>
      </c>
      <c r="B651" s="52">
        <v>4.6061764835570396E-2</v>
      </c>
      <c r="C651" s="52">
        <v>0.27039827934336436</v>
      </c>
      <c r="D651" s="52">
        <v>0.45916186852290419</v>
      </c>
      <c r="E651" s="52">
        <v>0.18927990662307886</v>
      </c>
      <c r="F651" s="52">
        <v>9.6993314289467475E-2</v>
      </c>
      <c r="G651" s="52">
        <v>4.947721897104114E-2</v>
      </c>
      <c r="H651" s="52">
        <v>0.11607851165036577</v>
      </c>
      <c r="I651" s="119">
        <v>192.68570687473459</v>
      </c>
    </row>
    <row r="652" spans="1:9" x14ac:dyDescent="0.3">
      <c r="A652" s="23">
        <v>634</v>
      </c>
      <c r="B652" s="52">
        <v>6.1682593440783098E-2</v>
      </c>
      <c r="C652" s="52">
        <v>0.28569642630086278</v>
      </c>
      <c r="D652" s="52">
        <v>0.51442250799005007</v>
      </c>
      <c r="E652" s="52">
        <v>0.18612426791445719</v>
      </c>
      <c r="F652" s="52">
        <v>8.8027145353697822E-2</v>
      </c>
      <c r="G652" s="52">
        <v>5.6343770223316943E-2</v>
      </c>
      <c r="H652" s="52">
        <v>8.4254884342913519E-2</v>
      </c>
      <c r="I652" s="119">
        <v>515.62995282595136</v>
      </c>
    </row>
    <row r="653" spans="1:9" x14ac:dyDescent="0.3">
      <c r="A653" s="23">
        <v>635</v>
      </c>
      <c r="B653" s="52">
        <v>8.2801610266163644E-2</v>
      </c>
      <c r="C653" s="52">
        <v>0.27250366395331216</v>
      </c>
      <c r="D653" s="52">
        <v>0.44629544249667152</v>
      </c>
      <c r="E653" s="52">
        <v>0.22437472658307259</v>
      </c>
      <c r="F653" s="52">
        <v>9.8172919697195021E-2</v>
      </c>
      <c r="G653" s="52">
        <v>2.5805075705502355E-2</v>
      </c>
      <c r="H653" s="52">
        <v>8.3379392444405037E-2</v>
      </c>
      <c r="I653" s="119">
        <v>111.12051105355324</v>
      </c>
    </row>
    <row r="654" spans="1:9" x14ac:dyDescent="0.3">
      <c r="A654" s="23">
        <v>636</v>
      </c>
      <c r="B654" s="52">
        <v>5.404592661885281E-2</v>
      </c>
      <c r="C654" s="52">
        <v>0.28351909923275725</v>
      </c>
      <c r="D654" s="52">
        <v>0.5654780613643795</v>
      </c>
      <c r="E654" s="52">
        <v>0.18037589194379694</v>
      </c>
      <c r="F654" s="52">
        <v>0.1045578546768984</v>
      </c>
      <c r="G654" s="52">
        <v>3.3198891254694045E-2</v>
      </c>
      <c r="H654" s="52">
        <v>0.10068383950158075</v>
      </c>
      <c r="I654" s="119">
        <v>99.285364927289876</v>
      </c>
    </row>
    <row r="655" spans="1:9" x14ac:dyDescent="0.3">
      <c r="A655" s="23">
        <v>637</v>
      </c>
      <c r="B655" s="52">
        <v>6.2181984449416389E-2</v>
      </c>
      <c r="C655" s="52">
        <v>0.2717506323452098</v>
      </c>
      <c r="D655" s="52">
        <v>0.47777019199623283</v>
      </c>
      <c r="E655" s="52">
        <v>0.19974045320468425</v>
      </c>
      <c r="F655" s="52">
        <v>9.4232779372405928E-2</v>
      </c>
      <c r="G655" s="52">
        <v>7.04719069116575E-2</v>
      </c>
      <c r="H655" s="52">
        <v>0.10748304999296172</v>
      </c>
      <c r="I655" s="119">
        <v>634.6995815315621</v>
      </c>
    </row>
    <row r="656" spans="1:9" x14ac:dyDescent="0.3">
      <c r="A656" s="23">
        <v>638</v>
      </c>
      <c r="B656" s="52">
        <v>6.9915175609653157E-2</v>
      </c>
      <c r="C656" s="52">
        <v>0.27352779014263218</v>
      </c>
      <c r="D656" s="52">
        <v>0.47273958554729512</v>
      </c>
      <c r="E656" s="52">
        <v>0.18397106423665208</v>
      </c>
      <c r="F656" s="52">
        <v>8.9219903763626734E-2</v>
      </c>
      <c r="G656" s="52">
        <v>7.1251033095510063E-2</v>
      </c>
      <c r="H656" s="52">
        <v>0.10271282795947467</v>
      </c>
      <c r="I656" s="119">
        <v>967.75925993146166</v>
      </c>
    </row>
    <row r="657" spans="1:9" x14ac:dyDescent="0.3">
      <c r="A657" s="23">
        <v>639</v>
      </c>
      <c r="B657" s="52">
        <v>6.8952011254907949E-2</v>
      </c>
      <c r="C657" s="52">
        <v>0.30442733828962093</v>
      </c>
      <c r="D657" s="52">
        <v>0.59562931566142885</v>
      </c>
      <c r="E657" s="52">
        <v>0.16318978085400423</v>
      </c>
      <c r="F657" s="52">
        <v>9.9637544501905734E-2</v>
      </c>
      <c r="G657" s="52">
        <v>4.0676290961642561E-2</v>
      </c>
      <c r="H657" s="52">
        <v>0.11202819484395113</v>
      </c>
      <c r="I657" s="119">
        <v>247.90338563811864</v>
      </c>
    </row>
    <row r="658" spans="1:9" x14ac:dyDescent="0.3">
      <c r="A658" s="23">
        <v>640</v>
      </c>
      <c r="B658" s="52">
        <v>7.4665264310955493E-2</v>
      </c>
      <c r="C658" s="52">
        <v>0.29339366865107547</v>
      </c>
      <c r="D658" s="52">
        <v>0.54183045028079391</v>
      </c>
      <c r="E658" s="52">
        <v>0.18413007371550447</v>
      </c>
      <c r="F658" s="52">
        <v>9.5477261963468951E-2</v>
      </c>
      <c r="G658" s="52">
        <v>5.0350779872988173E-2</v>
      </c>
      <c r="H658" s="52">
        <v>0.10153539581167714</v>
      </c>
      <c r="I658" s="119">
        <v>353.46468296033106</v>
      </c>
    </row>
    <row r="659" spans="1:9" x14ac:dyDescent="0.3">
      <c r="A659" s="23">
        <v>641</v>
      </c>
      <c r="B659" s="52">
        <v>6.3507199946038595E-2</v>
      </c>
      <c r="C659" s="52">
        <v>0.26387596471224806</v>
      </c>
      <c r="D659" s="52">
        <v>0.50982348129342081</v>
      </c>
      <c r="E659" s="52">
        <v>0.18895826089619827</v>
      </c>
      <c r="F659" s="52">
        <v>9.9530774768388036E-2</v>
      </c>
      <c r="G659" s="52">
        <v>3.3680996912341346E-2</v>
      </c>
      <c r="H659" s="52">
        <v>9.6956411590120209E-2</v>
      </c>
      <c r="I659" s="119">
        <v>89.829395740869288</v>
      </c>
    </row>
    <row r="660" spans="1:9" x14ac:dyDescent="0.3">
      <c r="A660" s="23">
        <v>642</v>
      </c>
      <c r="B660" s="52">
        <v>5.9039442276761292E-2</v>
      </c>
      <c r="C660" s="52">
        <v>0.28519734024754101</v>
      </c>
      <c r="D660" s="52">
        <v>0.55297775209688438</v>
      </c>
      <c r="E660" s="52">
        <v>0.18738480001963526</v>
      </c>
      <c r="F660" s="52">
        <v>9.3969217332196209E-2</v>
      </c>
      <c r="G660" s="52">
        <v>5.0227281130534568E-2</v>
      </c>
      <c r="H660" s="52">
        <v>9.7228525824337969E-2</v>
      </c>
      <c r="I660" s="119">
        <v>307.72223250730553</v>
      </c>
    </row>
    <row r="661" spans="1:9" x14ac:dyDescent="0.3">
      <c r="A661" s="23">
        <v>643</v>
      </c>
      <c r="B661" s="52">
        <v>6.6809165263002387E-2</v>
      </c>
      <c r="C661" s="52">
        <v>0.30153697625890452</v>
      </c>
      <c r="D661" s="52">
        <v>0.53840273191178156</v>
      </c>
      <c r="E661" s="52">
        <v>0.20754068536665202</v>
      </c>
      <c r="F661" s="52">
        <v>9.619983664473275E-2</v>
      </c>
      <c r="G661" s="52">
        <v>5.0837916733255169E-2</v>
      </c>
      <c r="H661" s="52">
        <v>0.11604011187382736</v>
      </c>
      <c r="I661" s="119">
        <v>361.96113734424762</v>
      </c>
    </row>
    <row r="662" spans="1:9" x14ac:dyDescent="0.3">
      <c r="A662" s="23">
        <v>644</v>
      </c>
      <c r="B662" s="52">
        <v>6.9408717944943757E-2</v>
      </c>
      <c r="C662" s="52">
        <v>0.29515229830214895</v>
      </c>
      <c r="D662" s="52">
        <v>0.63284734674245124</v>
      </c>
      <c r="E662" s="52">
        <v>0.22174265462636786</v>
      </c>
      <c r="F662" s="52">
        <v>8.4713697078910369E-2</v>
      </c>
      <c r="G662" s="52">
        <v>4.0573805134961852E-2</v>
      </c>
      <c r="H662" s="52">
        <v>0.11185400835340706</v>
      </c>
      <c r="I662" s="119">
        <v>383.19806345637198</v>
      </c>
    </row>
    <row r="663" spans="1:9" x14ac:dyDescent="0.3">
      <c r="A663" s="23">
        <v>645</v>
      </c>
      <c r="B663" s="52">
        <v>6.5824708670052079E-2</v>
      </c>
      <c r="C663" s="52">
        <v>0.28288017183101216</v>
      </c>
      <c r="D663" s="52">
        <v>0.4524205312532642</v>
      </c>
      <c r="E663" s="52">
        <v>0.19302493538313326</v>
      </c>
      <c r="F663" s="52">
        <v>9.1707949721345619E-2</v>
      </c>
      <c r="G663" s="52">
        <v>4.0649792046089421E-2</v>
      </c>
      <c r="H663" s="52">
        <v>0.1152007810140112</v>
      </c>
      <c r="I663" s="119">
        <v>247.5838847556544</v>
      </c>
    </row>
    <row r="664" spans="1:9" x14ac:dyDescent="0.3">
      <c r="A664" s="23">
        <v>646</v>
      </c>
      <c r="B664" s="52">
        <v>5.9885882103086631E-2</v>
      </c>
      <c r="C664" s="52">
        <v>0.28175608784315104</v>
      </c>
      <c r="D664" s="52">
        <v>0.67119480953308974</v>
      </c>
      <c r="E664" s="52">
        <v>0.19734408275506787</v>
      </c>
      <c r="F664" s="52">
        <v>0.10048707156174913</v>
      </c>
      <c r="G664" s="52">
        <v>5.2243861658900721E-2</v>
      </c>
      <c r="H664" s="52">
        <v>0.10792816013771907</v>
      </c>
      <c r="I664" s="119">
        <v>241.79256465988567</v>
      </c>
    </row>
    <row r="665" spans="1:9" x14ac:dyDescent="0.3">
      <c r="A665" s="23">
        <v>647</v>
      </c>
      <c r="B665" s="52">
        <v>5.9177115983876191E-2</v>
      </c>
      <c r="C665" s="52">
        <v>0.27431099564215078</v>
      </c>
      <c r="D665" s="52">
        <v>0.53291451511588106</v>
      </c>
      <c r="E665" s="52">
        <v>0.21113836808196429</v>
      </c>
      <c r="F665" s="52">
        <v>0.10457256752718186</v>
      </c>
      <c r="G665" s="52">
        <v>5.0913478138761022E-2</v>
      </c>
      <c r="H665" s="52">
        <v>0.10507184381810783</v>
      </c>
      <c r="I665" s="119">
        <v>170.18968279800134</v>
      </c>
    </row>
    <row r="666" spans="1:9" x14ac:dyDescent="0.3">
      <c r="A666" s="23">
        <v>648</v>
      </c>
      <c r="B666" s="52">
        <v>7.0378803055078765E-2</v>
      </c>
      <c r="C666" s="52">
        <v>0.29864117975970467</v>
      </c>
      <c r="D666" s="52">
        <v>0.53974469760785349</v>
      </c>
      <c r="E666" s="52">
        <v>0.20097481165641354</v>
      </c>
      <c r="F666" s="52">
        <v>0.10394720866923596</v>
      </c>
      <c r="G666" s="52">
        <v>4.9789079017465473E-2</v>
      </c>
      <c r="H666" s="52">
        <v>0.10878186753809752</v>
      </c>
      <c r="I666" s="119">
        <v>260.9681325433454</v>
      </c>
    </row>
    <row r="667" spans="1:9" x14ac:dyDescent="0.3">
      <c r="A667" s="23">
        <v>649</v>
      </c>
      <c r="B667" s="52">
        <v>7.035202554025749E-2</v>
      </c>
      <c r="C667" s="52">
        <v>0.28126839968498318</v>
      </c>
      <c r="D667" s="52">
        <v>0.73892544240738423</v>
      </c>
      <c r="E667" s="52">
        <v>0.19426788234281547</v>
      </c>
      <c r="F667" s="52">
        <v>0.10756618669753581</v>
      </c>
      <c r="G667" s="52">
        <v>4.9177213598807612E-2</v>
      </c>
      <c r="H667" s="52">
        <v>0.10523251684355889</v>
      </c>
      <c r="I667" s="119">
        <v>173.86862793172202</v>
      </c>
    </row>
    <row r="668" spans="1:9" x14ac:dyDescent="0.3">
      <c r="A668" s="23">
        <v>650</v>
      </c>
      <c r="B668" s="52">
        <v>8.5056976863527672E-2</v>
      </c>
      <c r="C668" s="52">
        <v>0.28403786603575432</v>
      </c>
      <c r="D668" s="52">
        <v>0.52106267548956886</v>
      </c>
      <c r="E668" s="52">
        <v>0.19837460493951062</v>
      </c>
      <c r="F668" s="52">
        <v>0.10200056147898681</v>
      </c>
      <c r="G668" s="52">
        <v>5.0337009107932193E-2</v>
      </c>
      <c r="H668" s="52">
        <v>9.5202346345649225E-2</v>
      </c>
      <c r="I668" s="119">
        <v>263.71109727474033</v>
      </c>
    </row>
    <row r="669" spans="1:9" x14ac:dyDescent="0.3">
      <c r="A669" s="23">
        <v>651</v>
      </c>
      <c r="B669" s="52">
        <v>6.3135438200663474E-2</v>
      </c>
      <c r="C669" s="52">
        <v>0.30065195793014327</v>
      </c>
      <c r="D669" s="52">
        <v>0.42986579692368987</v>
      </c>
      <c r="E669" s="52">
        <v>0.19388654146362716</v>
      </c>
      <c r="F669" s="52">
        <v>9.11234745346369E-2</v>
      </c>
      <c r="G669" s="52">
        <v>5.5957024677128389E-2</v>
      </c>
      <c r="H669" s="52">
        <v>0.10891407215136523</v>
      </c>
      <c r="I669" s="119">
        <v>512.46703179793235</v>
      </c>
    </row>
    <row r="670" spans="1:9" x14ac:dyDescent="0.3">
      <c r="A670" s="23">
        <v>652</v>
      </c>
      <c r="B670" s="52">
        <v>6.5893867031828271E-2</v>
      </c>
      <c r="C670" s="52">
        <v>0.28858573342343968</v>
      </c>
      <c r="D670" s="52">
        <v>0.72820736291629973</v>
      </c>
      <c r="E670" s="52">
        <v>0.20174184780328441</v>
      </c>
      <c r="F670" s="52">
        <v>8.7532819964628292E-2</v>
      </c>
      <c r="G670" s="52">
        <v>4.7721546812358684E-2</v>
      </c>
      <c r="H670" s="52">
        <v>0.10998199427024025</v>
      </c>
      <c r="I670" s="119">
        <v>399.00953207755276</v>
      </c>
    </row>
    <row r="671" spans="1:9" x14ac:dyDescent="0.3">
      <c r="A671" s="23">
        <v>653</v>
      </c>
      <c r="B671" s="52">
        <v>4.3885478249981055E-2</v>
      </c>
      <c r="C671" s="52">
        <v>0.28539159352623406</v>
      </c>
      <c r="D671" s="52">
        <v>0.71966502225708495</v>
      </c>
      <c r="E671" s="52">
        <v>0.20516549373246329</v>
      </c>
      <c r="F671" s="52">
        <v>9.934226244218293E-2</v>
      </c>
      <c r="G671" s="52">
        <v>4.9616479790266128E-2</v>
      </c>
      <c r="H671" s="52">
        <v>0.11004923436323753</v>
      </c>
      <c r="I671" s="119">
        <v>214.90867738087158</v>
      </c>
    </row>
    <row r="672" spans="1:9" x14ac:dyDescent="0.3">
      <c r="A672" s="23">
        <v>654</v>
      </c>
      <c r="B672" s="52">
        <v>5.9628187797840279E-2</v>
      </c>
      <c r="C672" s="52">
        <v>0.28754598243404977</v>
      </c>
      <c r="D672" s="52">
        <v>0.49675724401310362</v>
      </c>
      <c r="E672" s="52">
        <v>0.18711131913096476</v>
      </c>
      <c r="F672" s="52">
        <v>8.3611529065768589E-2</v>
      </c>
      <c r="G672" s="52">
        <v>6.2586955838368319E-2</v>
      </c>
      <c r="H672" s="52">
        <v>9.8195272702085792E-2</v>
      </c>
      <c r="I672" s="119">
        <v>885.18174026764177</v>
      </c>
    </row>
    <row r="673" spans="1:9" x14ac:dyDescent="0.3">
      <c r="A673" s="23">
        <v>655</v>
      </c>
      <c r="B673" s="52">
        <v>6.7438241784156944E-2</v>
      </c>
      <c r="C673" s="52">
        <v>0.26652472323932697</v>
      </c>
      <c r="D673" s="52">
        <v>0.47126476374107096</v>
      </c>
      <c r="E673" s="52">
        <v>0.20184365975482765</v>
      </c>
      <c r="F673" s="52">
        <v>9.0444582387515515E-2</v>
      </c>
      <c r="G673" s="52">
        <v>2.8816056156604094E-2</v>
      </c>
      <c r="H673" s="52">
        <v>0.11693844279054812</v>
      </c>
      <c r="I673" s="119">
        <v>132.59651040721903</v>
      </c>
    </row>
    <row r="674" spans="1:9" x14ac:dyDescent="0.3">
      <c r="A674" s="23">
        <v>656</v>
      </c>
      <c r="B674" s="52">
        <v>5.4057497779453512E-2</v>
      </c>
      <c r="C674" s="52">
        <v>0.30211134038094428</v>
      </c>
      <c r="D674" s="52">
        <v>0.69524781477131159</v>
      </c>
      <c r="E674" s="52">
        <v>0.20683871785544977</v>
      </c>
      <c r="F674" s="52">
        <v>0.10440356439266681</v>
      </c>
      <c r="G674" s="52">
        <v>5.0286805755797609E-2</v>
      </c>
      <c r="H674" s="52">
        <v>0.11008116485627416</v>
      </c>
      <c r="I674" s="119">
        <v>240.83185040256768</v>
      </c>
    </row>
    <row r="675" spans="1:9" x14ac:dyDescent="0.3">
      <c r="A675" s="23">
        <v>657</v>
      </c>
      <c r="B675" s="52">
        <v>6.0321627234108624E-2</v>
      </c>
      <c r="C675" s="52">
        <v>0.30526338607948017</v>
      </c>
      <c r="D675" s="52">
        <v>0.47518810284087948</v>
      </c>
      <c r="E675" s="52">
        <v>0.18454904612287862</v>
      </c>
      <c r="F675" s="52">
        <v>9.4347816930011569E-2</v>
      </c>
      <c r="G675" s="52">
        <v>4.0585142384232345E-2</v>
      </c>
      <c r="H675" s="52">
        <v>0.10510183849569471</v>
      </c>
      <c r="I675" s="119">
        <v>282.55772721255653</v>
      </c>
    </row>
    <row r="676" spans="1:9" x14ac:dyDescent="0.3">
      <c r="A676" s="23">
        <v>658</v>
      </c>
      <c r="B676" s="52">
        <v>6.8916829217453443E-2</v>
      </c>
      <c r="C676" s="52">
        <v>0.29672639996401934</v>
      </c>
      <c r="D676" s="52">
        <v>0.68090288555736456</v>
      </c>
      <c r="E676" s="52">
        <v>0.18819069951041004</v>
      </c>
      <c r="F676" s="52">
        <v>9.4935885221889185E-2</v>
      </c>
      <c r="G676" s="52">
        <v>4.1153297499881558E-2</v>
      </c>
      <c r="H676" s="52">
        <v>9.8986699193831656E-2</v>
      </c>
      <c r="I676" s="119">
        <v>271.0226742325508</v>
      </c>
    </row>
    <row r="677" spans="1:9" x14ac:dyDescent="0.3">
      <c r="A677" s="23">
        <v>659</v>
      </c>
      <c r="B677" s="52">
        <v>6.4813517324940534E-2</v>
      </c>
      <c r="C677" s="52">
        <v>0.29587925476230037</v>
      </c>
      <c r="D677" s="52">
        <v>0.53419657191279524</v>
      </c>
      <c r="E677" s="52">
        <v>0.19516227428072486</v>
      </c>
      <c r="F677" s="52">
        <v>9.4738428554402995E-2</v>
      </c>
      <c r="G677" s="52">
        <v>5.173550141204266E-2</v>
      </c>
      <c r="H677" s="52">
        <v>0.11770539998232379</v>
      </c>
      <c r="I677" s="119">
        <v>367.47356690926512</v>
      </c>
    </row>
    <row r="678" spans="1:9" x14ac:dyDescent="0.3">
      <c r="A678" s="23">
        <v>660</v>
      </c>
      <c r="B678" s="52">
        <v>7.0308425155164805E-2</v>
      </c>
      <c r="C678" s="52">
        <v>0.28846319859160141</v>
      </c>
      <c r="D678" s="52">
        <v>0.65354287050335025</v>
      </c>
      <c r="E678" s="52">
        <v>0.17701848452919194</v>
      </c>
      <c r="F678" s="52">
        <v>9.7092489266043108E-2</v>
      </c>
      <c r="G678" s="52">
        <v>3.8024789095268068E-2</v>
      </c>
      <c r="H678" s="52">
        <v>0.11479550468789576</v>
      </c>
      <c r="I678" s="119">
        <v>206.44450367253498</v>
      </c>
    </row>
    <row r="679" spans="1:9" x14ac:dyDescent="0.3">
      <c r="A679" s="23">
        <v>661</v>
      </c>
      <c r="B679" s="52">
        <v>5.3947403339231453E-2</v>
      </c>
      <c r="C679" s="52">
        <v>0.29534881639894056</v>
      </c>
      <c r="D679" s="52">
        <v>0.47843665599503488</v>
      </c>
      <c r="E679" s="52">
        <v>0.19256586888925076</v>
      </c>
      <c r="F679" s="52">
        <v>8.4661307747804337E-2</v>
      </c>
      <c r="G679" s="52">
        <v>5.7948966433729834E-2</v>
      </c>
      <c r="H679" s="52">
        <v>0.10917340592912134</v>
      </c>
      <c r="I679" s="119">
        <v>682.84943969394749</v>
      </c>
    </row>
    <row r="680" spans="1:9" x14ac:dyDescent="0.3">
      <c r="A680" s="23">
        <v>662</v>
      </c>
      <c r="B680" s="52">
        <v>4.6627691621020172E-2</v>
      </c>
      <c r="C680" s="52">
        <v>0.29905485710862234</v>
      </c>
      <c r="D680" s="52">
        <v>0.4422825970943105</v>
      </c>
      <c r="E680" s="52">
        <v>0.1979673933502919</v>
      </c>
      <c r="F680" s="52">
        <v>9.2917114684846924E-2</v>
      </c>
      <c r="G680" s="52">
        <v>5.6026888650384486E-2</v>
      </c>
      <c r="H680" s="52">
        <v>0.10319882407470388</v>
      </c>
      <c r="I680" s="119">
        <v>425.48967633624522</v>
      </c>
    </row>
    <row r="681" spans="1:9" x14ac:dyDescent="0.3">
      <c r="A681" s="23">
        <v>663</v>
      </c>
      <c r="B681" s="52">
        <v>6.625486431457063E-2</v>
      </c>
      <c r="C681" s="52">
        <v>0.30961708557116713</v>
      </c>
      <c r="D681" s="52">
        <v>0.52870170153940488</v>
      </c>
      <c r="E681" s="52">
        <v>0.18449120258083557</v>
      </c>
      <c r="F681" s="52">
        <v>9.2835739520484212E-2</v>
      </c>
      <c r="G681" s="52">
        <v>6.0715303203039694E-2</v>
      </c>
      <c r="H681" s="52">
        <v>0.10041959075992801</v>
      </c>
      <c r="I681" s="119">
        <v>626.04347123030652</v>
      </c>
    </row>
    <row r="682" spans="1:9" x14ac:dyDescent="0.3">
      <c r="A682" s="23">
        <v>664</v>
      </c>
      <c r="B682" s="52">
        <v>6.3152459727601667E-2</v>
      </c>
      <c r="C682" s="52">
        <v>0.27626072879058905</v>
      </c>
      <c r="D682" s="52">
        <v>0.5121549556360806</v>
      </c>
      <c r="E682" s="52">
        <v>0.19445803209427528</v>
      </c>
      <c r="F682" s="52">
        <v>9.9565417868873365E-2</v>
      </c>
      <c r="G682" s="52">
        <v>7.3635977233622085E-2</v>
      </c>
      <c r="H682" s="52">
        <v>0.11825392782591657</v>
      </c>
      <c r="I682" s="119">
        <v>580.73738131953712</v>
      </c>
    </row>
    <row r="683" spans="1:9" x14ac:dyDescent="0.3">
      <c r="A683" s="23">
        <v>665</v>
      </c>
      <c r="B683" s="52">
        <v>6.2459372450306749E-2</v>
      </c>
      <c r="C683" s="52">
        <v>0.28120729164281033</v>
      </c>
      <c r="D683" s="52">
        <v>0.66683558333850912</v>
      </c>
      <c r="E683" s="52">
        <v>0.21088442257152798</v>
      </c>
      <c r="F683" s="52">
        <v>9.6774549311893929E-2</v>
      </c>
      <c r="G683" s="52">
        <v>4.0922566697049814E-2</v>
      </c>
      <c r="H683" s="52">
        <v>0.10051741291006218</v>
      </c>
      <c r="I683" s="119">
        <v>193.19320282452523</v>
      </c>
    </row>
    <row r="684" spans="1:9" x14ac:dyDescent="0.3">
      <c r="A684" s="23">
        <v>666</v>
      </c>
      <c r="B684" s="52">
        <v>4.9794054349793906E-2</v>
      </c>
      <c r="C684" s="52">
        <v>0.26870341887075971</v>
      </c>
      <c r="D684" s="52">
        <v>0.52528747513629526</v>
      </c>
      <c r="E684" s="52">
        <v>0.20054686813312256</v>
      </c>
      <c r="F684" s="52">
        <v>9.9510169784484293E-2</v>
      </c>
      <c r="G684" s="52">
        <v>5.2992432315314988E-2</v>
      </c>
      <c r="H684" s="52">
        <v>0.11571238476569928</v>
      </c>
      <c r="I684" s="119">
        <v>197.34345145236406</v>
      </c>
    </row>
    <row r="685" spans="1:9" x14ac:dyDescent="0.3">
      <c r="A685" s="23">
        <v>667</v>
      </c>
      <c r="B685" s="52">
        <v>7.0411665919291058E-2</v>
      </c>
      <c r="C685" s="52">
        <v>0.29865101754156986</v>
      </c>
      <c r="D685" s="52">
        <v>0.4669810935877825</v>
      </c>
      <c r="E685" s="52">
        <v>0.20380548630784762</v>
      </c>
      <c r="F685" s="52">
        <v>0.10359817825894081</v>
      </c>
      <c r="G685" s="52">
        <v>4.8695841852280833E-2</v>
      </c>
      <c r="H685" s="52">
        <v>8.1688092494503733E-2</v>
      </c>
      <c r="I685" s="119">
        <v>255.90259451979642</v>
      </c>
    </row>
    <row r="686" spans="1:9" x14ac:dyDescent="0.3">
      <c r="A686" s="23">
        <v>668</v>
      </c>
      <c r="B686" s="52">
        <v>7.1505476909744292E-2</v>
      </c>
      <c r="C686" s="52">
        <v>0.29452625209162536</v>
      </c>
      <c r="D686" s="52">
        <v>0.43842105522403091</v>
      </c>
      <c r="E686" s="52">
        <v>0.20767176521659958</v>
      </c>
      <c r="F686" s="52">
        <v>9.5457222290705329E-2</v>
      </c>
      <c r="G686" s="52">
        <v>6.0479058988755954E-2</v>
      </c>
      <c r="H686" s="52">
        <v>0.10386449654039565</v>
      </c>
      <c r="I686" s="119">
        <v>500.16225103616995</v>
      </c>
    </row>
    <row r="687" spans="1:9" x14ac:dyDescent="0.3">
      <c r="A687" s="23">
        <v>669</v>
      </c>
      <c r="B687" s="52">
        <v>5.8712648332391586E-2</v>
      </c>
      <c r="C687" s="52">
        <v>0.26895588350924821</v>
      </c>
      <c r="D687" s="52">
        <v>0.58896936030630731</v>
      </c>
      <c r="E687" s="52">
        <v>0.20232274738470105</v>
      </c>
      <c r="F687" s="52">
        <v>9.1442543880524821E-2</v>
      </c>
      <c r="G687" s="52">
        <v>3.7821363779586205E-2</v>
      </c>
      <c r="H687" s="52">
        <v>9.2164493457123894E-2</v>
      </c>
      <c r="I687" s="119">
        <v>172.29252720386972</v>
      </c>
    </row>
    <row r="688" spans="1:9" x14ac:dyDescent="0.3">
      <c r="A688" s="23">
        <v>670</v>
      </c>
      <c r="B688" s="52">
        <v>6.7371852973354213E-2</v>
      </c>
      <c r="C688" s="52">
        <v>0.24740962162852187</v>
      </c>
      <c r="D688" s="52">
        <v>0.52136203303311457</v>
      </c>
      <c r="E688" s="52">
        <v>0.18113133584375363</v>
      </c>
      <c r="F688" s="52">
        <v>8.5088348879873238E-2</v>
      </c>
      <c r="G688" s="52">
        <v>5.7369968220140899E-2</v>
      </c>
      <c r="H688" s="52">
        <v>0.11557000770940341</v>
      </c>
      <c r="I688" s="119">
        <v>416.26859971436187</v>
      </c>
    </row>
    <row r="689" spans="1:9" x14ac:dyDescent="0.3">
      <c r="A689" s="23">
        <v>671</v>
      </c>
      <c r="B689" s="52">
        <v>5.8396753433306317E-2</v>
      </c>
      <c r="C689" s="52">
        <v>0.28432528161341025</v>
      </c>
      <c r="D689" s="52">
        <v>0.57021432522027049</v>
      </c>
      <c r="E689" s="52">
        <v>0.19673815136642964</v>
      </c>
      <c r="F689" s="52">
        <v>0.10034014850936909</v>
      </c>
      <c r="G689" s="52">
        <v>4.4135585909750405E-2</v>
      </c>
      <c r="H689" s="52">
        <v>0.11187678180997522</v>
      </c>
      <c r="I689" s="119">
        <v>188.31973121816426</v>
      </c>
    </row>
    <row r="690" spans="1:9" x14ac:dyDescent="0.3">
      <c r="A690" s="23">
        <v>672</v>
      </c>
      <c r="B690" s="52">
        <v>7.1118592660514679E-2</v>
      </c>
      <c r="C690" s="52">
        <v>0.28063131043662337</v>
      </c>
      <c r="D690" s="52">
        <v>0.63168530264082989</v>
      </c>
      <c r="E690" s="52">
        <v>0.21596027010993807</v>
      </c>
      <c r="F690" s="52">
        <v>0.10191894474901617</v>
      </c>
      <c r="G690" s="52">
        <v>6.3138465168155439E-2</v>
      </c>
      <c r="H690" s="52">
        <v>0.10212892402194626</v>
      </c>
      <c r="I690" s="119">
        <v>360.60595117889989</v>
      </c>
    </row>
    <row r="691" spans="1:9" x14ac:dyDescent="0.3">
      <c r="A691" s="23">
        <v>673</v>
      </c>
      <c r="B691" s="52">
        <v>7.510643988164345E-2</v>
      </c>
      <c r="C691" s="52">
        <v>0.27128507249070966</v>
      </c>
      <c r="D691" s="52">
        <v>0.44563871695597501</v>
      </c>
      <c r="E691" s="52">
        <v>0.15240461512017664</v>
      </c>
      <c r="F691" s="52">
        <v>0.10104170288097022</v>
      </c>
      <c r="G691" s="52">
        <v>6.352832403717211E-2</v>
      </c>
      <c r="H691" s="52">
        <v>0.11104551585351863</v>
      </c>
      <c r="I691" s="119">
        <v>348.74663103636999</v>
      </c>
    </row>
    <row r="692" spans="1:9" x14ac:dyDescent="0.3">
      <c r="A692" s="23">
        <v>674</v>
      </c>
      <c r="B692" s="52">
        <v>7.0310614147438152E-2</v>
      </c>
      <c r="C692" s="52">
        <v>0.30033235081921772</v>
      </c>
      <c r="D692" s="52">
        <v>0.50808267348042269</v>
      </c>
      <c r="E692" s="52">
        <v>0.16858916512043851</v>
      </c>
      <c r="F692" s="52">
        <v>9.4093724138652662E-2</v>
      </c>
      <c r="G692" s="52">
        <v>4.992290495143388E-2</v>
      </c>
      <c r="H692" s="52">
        <v>9.5677385521760805E-2</v>
      </c>
      <c r="I692" s="119">
        <v>384.35797336926504</v>
      </c>
    </row>
    <row r="693" spans="1:9" x14ac:dyDescent="0.3">
      <c r="A693" s="23">
        <v>675</v>
      </c>
      <c r="B693" s="52">
        <v>6.9794689587061809E-2</v>
      </c>
      <c r="C693" s="52">
        <v>0.30179245465346261</v>
      </c>
      <c r="D693" s="52">
        <v>0.49687108703801258</v>
      </c>
      <c r="E693" s="52">
        <v>0.20097914635795072</v>
      </c>
      <c r="F693" s="52">
        <v>9.4873527977995267E-2</v>
      </c>
      <c r="G693" s="52">
        <v>4.3921119663077358E-2</v>
      </c>
      <c r="H693" s="52">
        <v>7.8191397377965446E-2</v>
      </c>
      <c r="I693" s="119">
        <v>314.1614786891933</v>
      </c>
    </row>
    <row r="694" spans="1:9" x14ac:dyDescent="0.3">
      <c r="A694" s="23">
        <v>676</v>
      </c>
      <c r="B694" s="52">
        <v>5.0685891177711107E-2</v>
      </c>
      <c r="C694" s="52">
        <v>0.27399847446885411</v>
      </c>
      <c r="D694" s="52">
        <v>0.44268321295541507</v>
      </c>
      <c r="E694" s="52">
        <v>0.21111939639961178</v>
      </c>
      <c r="F694" s="52">
        <v>9.729666863234232E-2</v>
      </c>
      <c r="G694" s="52">
        <v>5.8459462385908399E-2</v>
      </c>
      <c r="H694" s="52">
        <v>0.10280704047746486</v>
      </c>
      <c r="I694" s="119">
        <v>298.65630656792723</v>
      </c>
    </row>
    <row r="695" spans="1:9" x14ac:dyDescent="0.3">
      <c r="A695" s="23">
        <v>677</v>
      </c>
      <c r="B695" s="52">
        <v>7.497135082343577E-2</v>
      </c>
      <c r="C695" s="52">
        <v>0.28670206946330506</v>
      </c>
      <c r="D695" s="52">
        <v>0.5761258848295564</v>
      </c>
      <c r="E695" s="52">
        <v>0.20840616539670362</v>
      </c>
      <c r="F695" s="52">
        <v>9.4872973773161395E-2</v>
      </c>
      <c r="G695" s="52">
        <v>7.4219054854988822E-2</v>
      </c>
      <c r="H695" s="52">
        <v>0.10922752082196288</v>
      </c>
      <c r="I695" s="119">
        <v>919.49108566645373</v>
      </c>
    </row>
    <row r="696" spans="1:9" x14ac:dyDescent="0.3">
      <c r="A696" s="23">
        <v>678</v>
      </c>
      <c r="B696" s="52">
        <v>5.700712527738501E-2</v>
      </c>
      <c r="C696" s="52">
        <v>0.27388564685331251</v>
      </c>
      <c r="D696" s="52">
        <v>0.58735954328831319</v>
      </c>
      <c r="E696" s="52">
        <v>0.20366750033695169</v>
      </c>
      <c r="F696" s="52">
        <v>9.4196037862011431E-2</v>
      </c>
      <c r="G696" s="52">
        <v>3.4038469830803927E-2</v>
      </c>
      <c r="H696" s="52">
        <v>8.4923744403896995E-2</v>
      </c>
      <c r="I696" s="119">
        <v>142.01546459986727</v>
      </c>
    </row>
    <row r="697" spans="1:9" x14ac:dyDescent="0.3">
      <c r="A697" s="23">
        <v>679</v>
      </c>
      <c r="B697" s="52">
        <v>6.4993111580306268E-2</v>
      </c>
      <c r="C697" s="52">
        <v>0.3151718054798574</v>
      </c>
      <c r="D697" s="52">
        <v>0.66115154441752988</v>
      </c>
      <c r="E697" s="52">
        <v>0.20849669133810586</v>
      </c>
      <c r="F697" s="52">
        <v>9.932397687225844E-2</v>
      </c>
      <c r="G697" s="52">
        <v>4.9244452858865202E-2</v>
      </c>
      <c r="H697" s="52">
        <v>0.11443033229990535</v>
      </c>
      <c r="I697" s="119">
        <v>348.07963669577452</v>
      </c>
    </row>
    <row r="698" spans="1:9" x14ac:dyDescent="0.3">
      <c r="A698" s="23">
        <v>680</v>
      </c>
      <c r="B698" s="52">
        <v>5.0801488209755885E-2</v>
      </c>
      <c r="C698" s="52">
        <v>0.29373098105372969</v>
      </c>
      <c r="D698" s="52">
        <v>0.56806034094761126</v>
      </c>
      <c r="E698" s="52">
        <v>0.1669476733597664</v>
      </c>
      <c r="F698" s="52">
        <v>0.10350565156542875</v>
      </c>
      <c r="G698" s="52">
        <v>5.2318223758977309E-2</v>
      </c>
      <c r="H698" s="52">
        <v>0.11798408217886376</v>
      </c>
      <c r="I698" s="119">
        <v>234.09887908082919</v>
      </c>
    </row>
    <row r="699" spans="1:9" x14ac:dyDescent="0.3">
      <c r="A699" s="23">
        <v>681</v>
      </c>
      <c r="B699" s="52">
        <v>5.3361387477256716E-2</v>
      </c>
      <c r="C699" s="52">
        <v>0.26354114570119108</v>
      </c>
      <c r="D699" s="52">
        <v>0.51679446309671295</v>
      </c>
      <c r="E699" s="52">
        <v>0.2046404363279386</v>
      </c>
      <c r="F699" s="52">
        <v>9.4284079741204507E-2</v>
      </c>
      <c r="G699" s="52">
        <v>5.3634618054488284E-2</v>
      </c>
      <c r="H699" s="52">
        <v>8.3174544540877596E-2</v>
      </c>
      <c r="I699" s="119">
        <v>248.25856066943197</v>
      </c>
    </row>
    <row r="700" spans="1:9" x14ac:dyDescent="0.3">
      <c r="A700" s="23">
        <v>682</v>
      </c>
      <c r="B700" s="52">
        <v>5.3230321349575817E-2</v>
      </c>
      <c r="C700" s="52">
        <v>0.2830916140953727</v>
      </c>
      <c r="D700" s="52">
        <v>0.55856068592903152</v>
      </c>
      <c r="E700" s="52">
        <v>0.20660766481255627</v>
      </c>
      <c r="F700" s="52">
        <v>9.4599093677910751E-2</v>
      </c>
      <c r="G700" s="52">
        <v>5.9814493858673025E-2</v>
      </c>
      <c r="H700" s="52">
        <v>0.11479308074430336</v>
      </c>
      <c r="I700" s="119">
        <v>405.51143107164859</v>
      </c>
    </row>
    <row r="701" spans="1:9" x14ac:dyDescent="0.3">
      <c r="A701" s="23">
        <v>683</v>
      </c>
      <c r="B701" s="52">
        <v>5.2463355973780518E-2</v>
      </c>
      <c r="C701" s="52">
        <v>0.28792861714781975</v>
      </c>
      <c r="D701" s="52">
        <v>0.65827165726051162</v>
      </c>
      <c r="E701" s="52">
        <v>0.20927212451319746</v>
      </c>
      <c r="F701" s="52">
        <v>9.241198506856918E-2</v>
      </c>
      <c r="G701" s="52">
        <v>5.472686280079031E-2</v>
      </c>
      <c r="H701" s="52">
        <v>0.11754475969630079</v>
      </c>
      <c r="I701" s="119">
        <v>383.70021808881188</v>
      </c>
    </row>
    <row r="702" spans="1:9" x14ac:dyDescent="0.3">
      <c r="A702" s="23">
        <v>684</v>
      </c>
      <c r="B702" s="52">
        <v>5.238840681768802E-2</v>
      </c>
      <c r="C702" s="52">
        <v>0.3155680985451465</v>
      </c>
      <c r="D702" s="52">
        <v>0.47980642528114076</v>
      </c>
      <c r="E702" s="52">
        <v>0.20603095726928911</v>
      </c>
      <c r="F702" s="52">
        <v>9.6536680351657911E-2</v>
      </c>
      <c r="G702" s="52">
        <v>4.475545145571598E-2</v>
      </c>
      <c r="H702" s="52">
        <v>9.0609141175742938E-2</v>
      </c>
      <c r="I702" s="119">
        <v>311.15819197815455</v>
      </c>
    </row>
    <row r="703" spans="1:9" x14ac:dyDescent="0.3">
      <c r="A703" s="23">
        <v>685</v>
      </c>
      <c r="B703" s="52">
        <v>6.195559341388697E-2</v>
      </c>
      <c r="C703" s="52">
        <v>0.29205162678322716</v>
      </c>
      <c r="D703" s="52">
        <v>0.54703417801298704</v>
      </c>
      <c r="E703" s="52">
        <v>0.20341536986606956</v>
      </c>
      <c r="F703" s="52">
        <v>8.8075745597100241E-2</v>
      </c>
      <c r="G703" s="52">
        <v>5.1104746091326439E-2</v>
      </c>
      <c r="H703" s="52">
        <v>0.10470304109387016</v>
      </c>
      <c r="I703" s="119">
        <v>446.26421100983106</v>
      </c>
    </row>
    <row r="704" spans="1:9" x14ac:dyDescent="0.3">
      <c r="A704" s="23">
        <v>686</v>
      </c>
      <c r="B704" s="52">
        <v>6.4356086476874089E-2</v>
      </c>
      <c r="C704" s="52">
        <v>0.29616907236134238</v>
      </c>
      <c r="D704" s="52">
        <v>0.5237791331946644</v>
      </c>
      <c r="E704" s="52">
        <v>0.20987019547582458</v>
      </c>
      <c r="F704" s="52">
        <v>0.1003044615102472</v>
      </c>
      <c r="G704" s="52">
        <v>6.1419401824069443E-2</v>
      </c>
      <c r="H704" s="52">
        <v>9.7583359346300788E-2</v>
      </c>
      <c r="I704" s="119">
        <v>410.90890741116971</v>
      </c>
    </row>
    <row r="705" spans="1:9" x14ac:dyDescent="0.3">
      <c r="A705" s="23">
        <v>687</v>
      </c>
      <c r="B705" s="52">
        <v>6.4761263306138295E-2</v>
      </c>
      <c r="C705" s="52">
        <v>0.29099845462266383</v>
      </c>
      <c r="D705" s="52">
        <v>0.47953710763299956</v>
      </c>
      <c r="E705" s="52">
        <v>0.1928647599078907</v>
      </c>
      <c r="F705" s="52">
        <v>9.4935946559468409E-2</v>
      </c>
      <c r="G705" s="52">
        <v>4.3632510384845676E-2</v>
      </c>
      <c r="H705" s="52">
        <v>9.547701698724842E-2</v>
      </c>
      <c r="I705" s="119">
        <v>264.91775918947496</v>
      </c>
    </row>
    <row r="706" spans="1:9" x14ac:dyDescent="0.3">
      <c r="A706" s="23">
        <v>688</v>
      </c>
      <c r="B706" s="52">
        <v>6.5163521980135086E-2</v>
      </c>
      <c r="C706" s="52">
        <v>0.25478384634055418</v>
      </c>
      <c r="D706" s="52">
        <v>0.49331385376065551</v>
      </c>
      <c r="E706" s="52">
        <v>0.18734542014201311</v>
      </c>
      <c r="F706" s="52">
        <v>0.10178752992085227</v>
      </c>
      <c r="G706" s="52">
        <v>4.5774447642635885E-2</v>
      </c>
      <c r="H706" s="52">
        <v>9.8273018122676525E-2</v>
      </c>
      <c r="I706" s="119">
        <v>109.74224560489068</v>
      </c>
    </row>
    <row r="707" spans="1:9" x14ac:dyDescent="0.3">
      <c r="A707" s="23">
        <v>689</v>
      </c>
      <c r="B707" s="52">
        <v>8.5063342472258482E-2</v>
      </c>
      <c r="C707" s="52">
        <v>0.28874899455073244</v>
      </c>
      <c r="D707" s="52">
        <v>0.4612596474582154</v>
      </c>
      <c r="E707" s="52">
        <v>0.19244046300576792</v>
      </c>
      <c r="F707" s="52">
        <v>8.6933249127258444E-2</v>
      </c>
      <c r="G707" s="52">
        <v>7.2837504712732509E-2</v>
      </c>
      <c r="H707" s="52">
        <v>0.10965615774357049</v>
      </c>
      <c r="I707" s="119">
        <v>1566.8481000182953</v>
      </c>
    </row>
    <row r="708" spans="1:9" x14ac:dyDescent="0.3">
      <c r="A708" s="23">
        <v>690</v>
      </c>
      <c r="B708" s="52">
        <v>7.3374103825958881E-2</v>
      </c>
      <c r="C708" s="52">
        <v>0.27966502052392256</v>
      </c>
      <c r="D708" s="52">
        <v>0.47660847720190702</v>
      </c>
      <c r="E708" s="52">
        <v>0.21122995463669378</v>
      </c>
      <c r="F708" s="52">
        <v>0.1020017915758123</v>
      </c>
      <c r="G708" s="52">
        <v>5.947970733413168E-2</v>
      </c>
      <c r="H708" s="52">
        <v>9.7381455762892893E-2</v>
      </c>
      <c r="I708" s="119">
        <v>314.36977697012833</v>
      </c>
    </row>
    <row r="709" spans="1:9" x14ac:dyDescent="0.3">
      <c r="A709" s="23">
        <v>691</v>
      </c>
      <c r="B709" s="52">
        <v>6.8368914054246097E-2</v>
      </c>
      <c r="C709" s="52">
        <v>0.28363499680008031</v>
      </c>
      <c r="D709" s="52">
        <v>0.50534018288335492</v>
      </c>
      <c r="E709" s="52">
        <v>0.18684676442730314</v>
      </c>
      <c r="F709" s="52">
        <v>0.10259153467263962</v>
      </c>
      <c r="G709" s="52">
        <v>4.3827178633601943E-2</v>
      </c>
      <c r="H709" s="52">
        <v>0.10128320309539232</v>
      </c>
      <c r="I709" s="119">
        <v>182.68349073191882</v>
      </c>
    </row>
    <row r="710" spans="1:9" x14ac:dyDescent="0.3">
      <c r="A710" s="23">
        <v>692</v>
      </c>
      <c r="B710" s="52">
        <v>7.6563484238931501E-2</v>
      </c>
      <c r="C710" s="52">
        <v>0.27447533761912341</v>
      </c>
      <c r="D710" s="52">
        <v>0.54275593795742183</v>
      </c>
      <c r="E710" s="52">
        <v>0.18177365144570024</v>
      </c>
      <c r="F710" s="52">
        <v>8.2964701693965387E-2</v>
      </c>
      <c r="G710" s="52">
        <v>4.4856955155056638E-2</v>
      </c>
      <c r="H710" s="52">
        <v>8.7514260655148654E-2</v>
      </c>
      <c r="I710" s="119">
        <v>397.39850889049751</v>
      </c>
    </row>
    <row r="711" spans="1:9" x14ac:dyDescent="0.3">
      <c r="A711" s="23">
        <v>693</v>
      </c>
      <c r="B711" s="52">
        <v>7.0857476928698634E-2</v>
      </c>
      <c r="C711" s="52">
        <v>0.2921963636823498</v>
      </c>
      <c r="D711" s="52">
        <v>0.51668732984768084</v>
      </c>
      <c r="E711" s="52">
        <v>0.1814118441498854</v>
      </c>
      <c r="F711" s="52">
        <v>0.10280470534333673</v>
      </c>
      <c r="G711" s="52">
        <v>5.1389791292724057E-2</v>
      </c>
      <c r="H711" s="52">
        <v>0.10060958761737127</v>
      </c>
      <c r="I711" s="119">
        <v>265.50502506687138</v>
      </c>
    </row>
    <row r="712" spans="1:9" x14ac:dyDescent="0.3">
      <c r="A712" s="23">
        <v>694</v>
      </c>
      <c r="B712" s="52">
        <v>5.4676946128950563E-2</v>
      </c>
      <c r="C712" s="52">
        <v>0.28691574005640935</v>
      </c>
      <c r="D712" s="52">
        <v>0.57339367669672725</v>
      </c>
      <c r="E712" s="52">
        <v>0.22186744469358982</v>
      </c>
      <c r="F712" s="52">
        <v>9.0431851761165513E-2</v>
      </c>
      <c r="G712" s="52">
        <v>5.3787618785698245E-2</v>
      </c>
      <c r="H712" s="52">
        <v>9.77247116085911E-2</v>
      </c>
      <c r="I712" s="119">
        <v>405.12754665931863</v>
      </c>
    </row>
    <row r="713" spans="1:9" x14ac:dyDescent="0.3">
      <c r="A713" s="23">
        <v>695</v>
      </c>
      <c r="B713" s="52">
        <v>7.0787796876627479E-2</v>
      </c>
      <c r="C713" s="52">
        <v>0.25424061148954274</v>
      </c>
      <c r="D713" s="52">
        <v>0.71424025757170218</v>
      </c>
      <c r="E713" s="52">
        <v>0.18183919494396378</v>
      </c>
      <c r="F713" s="52">
        <v>9.105474501588301E-2</v>
      </c>
      <c r="G713" s="52">
        <v>4.9266939051496872E-2</v>
      </c>
      <c r="H713" s="52">
        <v>0.12574370021526338</v>
      </c>
      <c r="I713" s="119">
        <v>236.00833504299052</v>
      </c>
    </row>
    <row r="714" spans="1:9" x14ac:dyDescent="0.3">
      <c r="A714" s="23">
        <v>696</v>
      </c>
      <c r="B714" s="52">
        <v>6.8792124933485813E-2</v>
      </c>
      <c r="C714" s="52">
        <v>0.28027075593658501</v>
      </c>
      <c r="D714" s="52">
        <v>0.56535948852572537</v>
      </c>
      <c r="E714" s="52">
        <v>0.1880959287185478</v>
      </c>
      <c r="F714" s="52">
        <v>0.10156868022344606</v>
      </c>
      <c r="G714" s="52">
        <v>4.0205925156766208E-2</v>
      </c>
      <c r="H714" s="52">
        <v>0.11005790467714796</v>
      </c>
      <c r="I714" s="119">
        <v>160.23962997032288</v>
      </c>
    </row>
    <row r="715" spans="1:9" x14ac:dyDescent="0.3">
      <c r="A715" s="23">
        <v>697</v>
      </c>
      <c r="B715" s="52">
        <v>5.3292045836694946E-2</v>
      </c>
      <c r="C715" s="52">
        <v>0.28744738329008301</v>
      </c>
      <c r="D715" s="52">
        <v>0.58718350691084109</v>
      </c>
      <c r="E715" s="52">
        <v>0.18910802530421583</v>
      </c>
      <c r="F715" s="52">
        <v>9.9712317604682105E-2</v>
      </c>
      <c r="G715" s="52">
        <v>3.993211273015046E-2</v>
      </c>
      <c r="H715" s="52">
        <v>0.10627884947144398</v>
      </c>
      <c r="I715" s="119">
        <v>168.49607607461417</v>
      </c>
    </row>
    <row r="716" spans="1:9" x14ac:dyDescent="0.3">
      <c r="A716" s="23">
        <v>698</v>
      </c>
      <c r="B716" s="52">
        <v>6.2910108445124846E-2</v>
      </c>
      <c r="C716" s="52">
        <v>0.28710796964765606</v>
      </c>
      <c r="D716" s="52">
        <v>0.45689112060847975</v>
      </c>
      <c r="E716" s="52">
        <v>0.19131833800359954</v>
      </c>
      <c r="F716" s="52">
        <v>9.366968857807681E-2</v>
      </c>
      <c r="G716" s="52">
        <v>4.443483695430276E-2</v>
      </c>
      <c r="H716" s="52">
        <v>9.9336121554310514E-2</v>
      </c>
      <c r="I716" s="119">
        <v>268.559202381082</v>
      </c>
    </row>
    <row r="717" spans="1:9" x14ac:dyDescent="0.3">
      <c r="A717" s="23">
        <v>699</v>
      </c>
      <c r="B717" s="52">
        <v>5.4237730763898637E-2</v>
      </c>
      <c r="C717" s="52">
        <v>0.29391868686059214</v>
      </c>
      <c r="D717" s="52">
        <v>0.63874951633154897</v>
      </c>
      <c r="E717" s="52">
        <v>0.19396850130165896</v>
      </c>
      <c r="F717" s="52">
        <v>0.10141081274143088</v>
      </c>
      <c r="G717" s="52">
        <v>6.1435398433834755E-2</v>
      </c>
      <c r="H717" s="52">
        <v>0.10343668244934698</v>
      </c>
      <c r="I717" s="119">
        <v>360.11271319352835</v>
      </c>
    </row>
    <row r="718" spans="1:9" x14ac:dyDescent="0.3">
      <c r="A718" s="23">
        <v>700</v>
      </c>
      <c r="B718" s="52">
        <v>6.0276791786988859E-2</v>
      </c>
      <c r="C718" s="52">
        <v>0.29998388631367595</v>
      </c>
      <c r="D718" s="52">
        <v>0.43007480319412145</v>
      </c>
      <c r="E718" s="52">
        <v>0.17782720001721158</v>
      </c>
      <c r="F718" s="52">
        <v>7.8959000879715177E-2</v>
      </c>
      <c r="G718" s="52">
        <v>3.5738151796049243E-2</v>
      </c>
      <c r="H718" s="52">
        <v>0.11002445793920398</v>
      </c>
      <c r="I718" s="119">
        <v>404.92107127410617</v>
      </c>
    </row>
    <row r="719" spans="1:9" x14ac:dyDescent="0.3">
      <c r="A719" s="23">
        <v>701</v>
      </c>
      <c r="B719" s="52">
        <v>4.7274892203562999E-2</v>
      </c>
      <c r="C719" s="52">
        <v>0.29515078691299085</v>
      </c>
      <c r="D719" s="52">
        <v>0.58055145101176076</v>
      </c>
      <c r="E719" s="52">
        <v>0.18707169583199701</v>
      </c>
      <c r="F719" s="52">
        <v>9.662030762574228E-2</v>
      </c>
      <c r="G719" s="52">
        <v>4.0158289612142802E-2</v>
      </c>
      <c r="H719" s="52">
        <v>0.10343091594113429</v>
      </c>
      <c r="I719" s="119">
        <v>205.08323965977476</v>
      </c>
    </row>
    <row r="720" spans="1:9" x14ac:dyDescent="0.3">
      <c r="A720" s="23">
        <v>702</v>
      </c>
      <c r="B720" s="52">
        <v>5.5413668692620655E-2</v>
      </c>
      <c r="C720" s="52">
        <v>0.26866638472959542</v>
      </c>
      <c r="D720" s="52">
        <v>0.44902262358133932</v>
      </c>
      <c r="E720" s="52">
        <v>0.17956627505234316</v>
      </c>
      <c r="F720" s="52">
        <v>9.4420509247355372E-2</v>
      </c>
      <c r="G720" s="52">
        <v>3.7820554956532013E-2</v>
      </c>
      <c r="H720" s="52">
        <v>0.11388392213309398</v>
      </c>
      <c r="I720" s="119">
        <v>144.18049315892429</v>
      </c>
    </row>
    <row r="721" spans="1:9" x14ac:dyDescent="0.3">
      <c r="A721" s="23">
        <v>703</v>
      </c>
      <c r="B721" s="52">
        <v>5.5381549400067155E-2</v>
      </c>
      <c r="C721" s="52">
        <v>0.29856389516734111</v>
      </c>
      <c r="D721" s="52">
        <v>0.72175307694109814</v>
      </c>
      <c r="E721" s="52">
        <v>0.18972638992843002</v>
      </c>
      <c r="F721" s="52">
        <v>9.845940621995436E-2</v>
      </c>
      <c r="G721" s="52">
        <v>5.4671685273967166E-2</v>
      </c>
      <c r="H721" s="52">
        <v>0.11067452909451855</v>
      </c>
      <c r="I721" s="119">
        <v>338.90495905565189</v>
      </c>
    </row>
    <row r="722" spans="1:9" x14ac:dyDescent="0.3">
      <c r="A722" s="23">
        <v>704</v>
      </c>
      <c r="B722" s="52">
        <v>6.2423009149828609E-2</v>
      </c>
      <c r="C722" s="52">
        <v>0.27204355430063243</v>
      </c>
      <c r="D722" s="52">
        <v>0.4627491830868698</v>
      </c>
      <c r="E722" s="52">
        <v>0.19128924072623812</v>
      </c>
      <c r="F722" s="52">
        <v>0.10176204932151803</v>
      </c>
      <c r="G722" s="52">
        <v>5.5878521808915498E-2</v>
      </c>
      <c r="H722" s="52">
        <v>7.9619938043782729E-2</v>
      </c>
      <c r="I722" s="119">
        <v>231.74634660286199</v>
      </c>
    </row>
    <row r="723" spans="1:9" x14ac:dyDescent="0.3">
      <c r="A723" s="23">
        <v>705</v>
      </c>
      <c r="B723" s="52">
        <v>4.7792550147863475E-2</v>
      </c>
      <c r="C723" s="52">
        <v>0.29729509357239442</v>
      </c>
      <c r="D723" s="52">
        <v>0.43619348389594675</v>
      </c>
      <c r="E723" s="52">
        <v>0.19867324076957135</v>
      </c>
      <c r="F723" s="52">
        <v>0.10361678730259735</v>
      </c>
      <c r="G723" s="52">
        <v>7.370005982281394E-2</v>
      </c>
      <c r="H723" s="52">
        <v>0.11043088934391415</v>
      </c>
      <c r="I723" s="119">
        <v>528.44469885558897</v>
      </c>
    </row>
    <row r="724" spans="1:9" x14ac:dyDescent="0.3">
      <c r="A724" s="23">
        <v>706</v>
      </c>
      <c r="B724" s="52">
        <v>8.8194648998649483E-2</v>
      </c>
      <c r="C724" s="52">
        <v>0.2814709156261716</v>
      </c>
      <c r="D724" s="52">
        <v>0.42971681457985911</v>
      </c>
      <c r="E724" s="52">
        <v>0.17974090004148993</v>
      </c>
      <c r="F724" s="52">
        <v>8.3351301789958199E-2</v>
      </c>
      <c r="G724" s="52">
        <v>4.2947198234921463E-2</v>
      </c>
      <c r="H724" s="52">
        <v>0.11338746868636543</v>
      </c>
      <c r="I724" s="119">
        <v>423.10056349644771</v>
      </c>
    </row>
    <row r="725" spans="1:9" x14ac:dyDescent="0.3">
      <c r="A725" s="23">
        <v>707</v>
      </c>
      <c r="B725" s="52">
        <v>7.5301328698962985E-2</v>
      </c>
      <c r="C725" s="52">
        <v>0.2705383328183783</v>
      </c>
      <c r="D725" s="52">
        <v>0.51053956892678021</v>
      </c>
      <c r="E725" s="52">
        <v>0.19818211981414835</v>
      </c>
      <c r="F725" s="52">
        <v>9.5531837580022164E-2</v>
      </c>
      <c r="G725" s="52">
        <v>4.7440645512790529E-2</v>
      </c>
      <c r="H725" s="52">
        <v>9.4455831778733318E-2</v>
      </c>
      <c r="I725" s="119">
        <v>239.86737365279518</v>
      </c>
    </row>
    <row r="726" spans="1:9" x14ac:dyDescent="0.3">
      <c r="A726" s="23">
        <v>708</v>
      </c>
      <c r="B726" s="52">
        <v>6.8356264638029254E-2</v>
      </c>
      <c r="C726" s="52">
        <v>0.28756648514397526</v>
      </c>
      <c r="D726" s="52">
        <v>0.45772181546072949</v>
      </c>
      <c r="E726" s="52">
        <v>0.19144695673172699</v>
      </c>
      <c r="F726" s="52">
        <v>0.10188474364104515</v>
      </c>
      <c r="G726" s="52">
        <v>4.4836275232411425E-2</v>
      </c>
      <c r="H726" s="52">
        <v>0.10478529146604477</v>
      </c>
      <c r="I726" s="119">
        <v>206.15394261423634</v>
      </c>
    </row>
    <row r="727" spans="1:9" x14ac:dyDescent="0.3">
      <c r="A727" s="23">
        <v>709</v>
      </c>
      <c r="B727" s="52">
        <v>6.2521634398368844E-2</v>
      </c>
      <c r="C727" s="52">
        <v>0.25135166668890296</v>
      </c>
      <c r="D727" s="52">
        <v>0.50082157633398416</v>
      </c>
      <c r="E727" s="52">
        <v>0.20746299994920636</v>
      </c>
      <c r="F727" s="52">
        <v>9.0759357481965328E-2</v>
      </c>
      <c r="G727" s="52">
        <v>5.6134136398277149E-2</v>
      </c>
      <c r="H727" s="52">
        <v>0.10810782642641985</v>
      </c>
      <c r="I727" s="119">
        <v>293.80929706254329</v>
      </c>
    </row>
    <row r="728" spans="1:9" x14ac:dyDescent="0.3">
      <c r="A728" s="23">
        <v>710</v>
      </c>
      <c r="B728" s="52">
        <v>5.5327249083324911E-2</v>
      </c>
      <c r="C728" s="52">
        <v>0.29075370873099465</v>
      </c>
      <c r="D728" s="52">
        <v>0.57810374235639805</v>
      </c>
      <c r="E728" s="52">
        <v>0.18258218346885829</v>
      </c>
      <c r="F728" s="52">
        <v>9.9972558342615536E-2</v>
      </c>
      <c r="G728" s="52">
        <v>4.4007719937661803E-2</v>
      </c>
      <c r="H728" s="52">
        <v>9.8626361796640277E-2</v>
      </c>
      <c r="I728" s="119">
        <v>204.12717735327521</v>
      </c>
    </row>
    <row r="729" spans="1:9" x14ac:dyDescent="0.3">
      <c r="A729" s="23">
        <v>711</v>
      </c>
      <c r="B729" s="52">
        <v>6.7087468819812729E-2</v>
      </c>
      <c r="C729" s="52">
        <v>0.27287500533784742</v>
      </c>
      <c r="D729" s="52">
        <v>0.50254950880973315</v>
      </c>
      <c r="E729" s="52">
        <v>0.16952656549469863</v>
      </c>
      <c r="F729" s="52">
        <v>8.8674204272047863E-2</v>
      </c>
      <c r="G729" s="52">
        <v>7.5823621875542327E-2</v>
      </c>
      <c r="H729" s="52">
        <v>0.11833581508183384</v>
      </c>
      <c r="I729" s="119">
        <v>1400.3383796069413</v>
      </c>
    </row>
    <row r="730" spans="1:9" x14ac:dyDescent="0.3">
      <c r="A730" s="23">
        <v>712</v>
      </c>
      <c r="B730" s="52">
        <v>6.8343875167068066E-2</v>
      </c>
      <c r="C730" s="52">
        <v>0.27566489015301221</v>
      </c>
      <c r="D730" s="52">
        <v>0.54051965269689972</v>
      </c>
      <c r="E730" s="52">
        <v>0.19225951334652186</v>
      </c>
      <c r="F730" s="52">
        <v>8.7744741151112499E-2</v>
      </c>
      <c r="G730" s="52">
        <v>6.03848584042792E-2</v>
      </c>
      <c r="H730" s="52">
        <v>0.10744005037620269</v>
      </c>
      <c r="I730" s="119">
        <v>587.68321353022895</v>
      </c>
    </row>
    <row r="731" spans="1:9" x14ac:dyDescent="0.3">
      <c r="A731" s="23">
        <v>713</v>
      </c>
      <c r="B731" s="52">
        <v>5.1996882386221917E-2</v>
      </c>
      <c r="C731" s="52">
        <v>0.30495889587200575</v>
      </c>
      <c r="D731" s="52">
        <v>0.45007870098047087</v>
      </c>
      <c r="E731" s="52">
        <v>0.17590619782058031</v>
      </c>
      <c r="F731" s="52">
        <v>9.9852390891635071E-2</v>
      </c>
      <c r="G731" s="52">
        <v>6.5825752260480791E-2</v>
      </c>
      <c r="H731" s="52">
        <v>9.9076168305368736E-2</v>
      </c>
      <c r="I731" s="119">
        <v>498.28758086363018</v>
      </c>
    </row>
    <row r="732" spans="1:9" x14ac:dyDescent="0.3">
      <c r="A732" s="23">
        <v>714</v>
      </c>
      <c r="B732" s="52">
        <v>7.217736602053712E-2</v>
      </c>
      <c r="C732" s="52">
        <v>0.27655639876085097</v>
      </c>
      <c r="D732" s="52">
        <v>0.50104192423287497</v>
      </c>
      <c r="E732" s="52">
        <v>0.17814376686248204</v>
      </c>
      <c r="F732" s="52">
        <v>9.6615140863048482E-2</v>
      </c>
      <c r="G732" s="52">
        <v>5.7025554303639266E-2</v>
      </c>
      <c r="H732" s="52">
        <v>0.11572481950791273</v>
      </c>
      <c r="I732" s="119">
        <v>346.07467968647984</v>
      </c>
    </row>
    <row r="733" spans="1:9" x14ac:dyDescent="0.3">
      <c r="A733" s="23">
        <v>715</v>
      </c>
      <c r="B733" s="52">
        <v>6.2000049445727998E-2</v>
      </c>
      <c r="C733" s="52">
        <v>0.27887318173415332</v>
      </c>
      <c r="D733" s="52">
        <v>0.57805797851791674</v>
      </c>
      <c r="E733" s="52">
        <v>0.2062191958301513</v>
      </c>
      <c r="F733" s="52">
        <v>0.10409982553447315</v>
      </c>
      <c r="G733" s="52">
        <v>6.3126475810560995E-2</v>
      </c>
      <c r="H733" s="52">
        <v>9.8029449926040763E-2</v>
      </c>
      <c r="I733" s="119">
        <v>301.90300492172082</v>
      </c>
    </row>
    <row r="734" spans="1:9" x14ac:dyDescent="0.3">
      <c r="A734" s="23">
        <v>716</v>
      </c>
      <c r="B734" s="52">
        <v>6.5694308766268639E-2</v>
      </c>
      <c r="C734" s="52">
        <v>0.26663022470542852</v>
      </c>
      <c r="D734" s="52">
        <v>0.49537604480696029</v>
      </c>
      <c r="E734" s="52">
        <v>0.20508138922454172</v>
      </c>
      <c r="F734" s="52">
        <v>9.2762928785118492E-2</v>
      </c>
      <c r="G734" s="52">
        <v>5.6645005457216353E-2</v>
      </c>
      <c r="H734" s="52">
        <v>0.10968463662023378</v>
      </c>
      <c r="I734" s="119">
        <v>344.77442205554752</v>
      </c>
    </row>
    <row r="735" spans="1:9" x14ac:dyDescent="0.3">
      <c r="A735" s="23">
        <v>717</v>
      </c>
      <c r="B735" s="52">
        <v>8.1532753332609148E-2</v>
      </c>
      <c r="C735" s="52">
        <v>0.29183880636794485</v>
      </c>
      <c r="D735" s="52">
        <v>0.43411487428272666</v>
      </c>
      <c r="E735" s="52">
        <v>0.16088614262608159</v>
      </c>
      <c r="F735" s="52">
        <v>9.7975051204903699E-2</v>
      </c>
      <c r="G735" s="52">
        <v>5.2926432510848907E-2</v>
      </c>
      <c r="H735" s="52">
        <v>0.10766079541993466</v>
      </c>
      <c r="I735" s="119">
        <v>358.42664925196709</v>
      </c>
    </row>
    <row r="736" spans="1:9" x14ac:dyDescent="0.3">
      <c r="A736" s="23">
        <v>718</v>
      </c>
      <c r="B736" s="52">
        <v>6.520710150762965E-2</v>
      </c>
      <c r="C736" s="52">
        <v>0.2889954269776509</v>
      </c>
      <c r="D736" s="52">
        <v>0.46305064796254491</v>
      </c>
      <c r="E736" s="52">
        <v>0.21378791684952186</v>
      </c>
      <c r="F736" s="52">
        <v>9.6293924972618211E-2</v>
      </c>
      <c r="G736" s="52">
        <v>3.5854169557185012E-2</v>
      </c>
      <c r="H736" s="52">
        <v>0.11504051296810708</v>
      </c>
      <c r="I736" s="119">
        <v>192.52485647788791</v>
      </c>
    </row>
    <row r="737" spans="1:9" x14ac:dyDescent="0.3">
      <c r="A737" s="23">
        <v>719</v>
      </c>
      <c r="B737" s="52">
        <v>5.0121752357360091E-2</v>
      </c>
      <c r="C737" s="52">
        <v>0.29687407841043217</v>
      </c>
      <c r="D737" s="52">
        <v>0.50271058878456609</v>
      </c>
      <c r="E737" s="52">
        <v>0.19244988821615455</v>
      </c>
      <c r="F737" s="52">
        <v>9.8472667219669158E-2</v>
      </c>
      <c r="G737" s="52">
        <v>5.4234270666430065E-2</v>
      </c>
      <c r="H737" s="52">
        <v>0.10191278974694325</v>
      </c>
      <c r="I737" s="119">
        <v>316.44356247743434</v>
      </c>
    </row>
    <row r="738" spans="1:9" x14ac:dyDescent="0.3">
      <c r="A738" s="23">
        <v>720</v>
      </c>
      <c r="B738" s="52">
        <v>5.5689237607156827E-2</v>
      </c>
      <c r="C738" s="52">
        <v>0.27401440155544332</v>
      </c>
      <c r="D738" s="52">
        <v>0.50307741536723427</v>
      </c>
      <c r="E738" s="52">
        <v>0.20148894222723163</v>
      </c>
      <c r="F738" s="52">
        <v>0.10226866309207655</v>
      </c>
      <c r="G738" s="52">
        <v>6.1623770370124759E-2</v>
      </c>
      <c r="H738" s="52">
        <v>0.10784178505559197</v>
      </c>
      <c r="I738" s="119">
        <v>278.14513745469463</v>
      </c>
    </row>
    <row r="739" spans="1:9" x14ac:dyDescent="0.3">
      <c r="A739" s="23">
        <v>721</v>
      </c>
      <c r="B739" s="52">
        <v>7.2632884342613224E-2</v>
      </c>
      <c r="C739" s="52">
        <v>0.28550578457799691</v>
      </c>
      <c r="D739" s="52">
        <v>0.49937522445735461</v>
      </c>
      <c r="E739" s="52">
        <v>0.19626836520882288</v>
      </c>
      <c r="F739" s="52">
        <v>9.7578786724124345E-2</v>
      </c>
      <c r="G739" s="52">
        <v>5.7025969164263349E-2</v>
      </c>
      <c r="H739" s="52">
        <v>0.1068269268920391</v>
      </c>
      <c r="I739" s="119">
        <v>369.59381566568487</v>
      </c>
    </row>
    <row r="740" spans="1:9" x14ac:dyDescent="0.3">
      <c r="A740" s="23">
        <v>722</v>
      </c>
      <c r="B740" s="52">
        <v>5.8094988272755249E-2</v>
      </c>
      <c r="C740" s="52">
        <v>0.29693409438441271</v>
      </c>
      <c r="D740" s="52">
        <v>0.65765558805133506</v>
      </c>
      <c r="E740" s="52">
        <v>0.18037633562655175</v>
      </c>
      <c r="F740" s="52">
        <v>8.5493797135963126E-2</v>
      </c>
      <c r="G740" s="52">
        <v>6.6591339759888568E-2</v>
      </c>
      <c r="H740" s="52">
        <v>0.10701970379857195</v>
      </c>
      <c r="I740" s="119">
        <v>1062.7153748191145</v>
      </c>
    </row>
    <row r="741" spans="1:9" x14ac:dyDescent="0.3">
      <c r="A741" s="23">
        <v>723</v>
      </c>
      <c r="B741" s="52">
        <v>6.6952353863318381E-2</v>
      </c>
      <c r="C741" s="52">
        <v>0.31413291188195475</v>
      </c>
      <c r="D741" s="52">
        <v>0.5477033710711231</v>
      </c>
      <c r="E741" s="52">
        <v>0.1851428050034333</v>
      </c>
      <c r="F741" s="52">
        <v>0.10550859580620328</v>
      </c>
      <c r="G741" s="52">
        <v>5.4824257648676433E-2</v>
      </c>
      <c r="H741" s="52">
        <v>0.11190795505403044</v>
      </c>
      <c r="I741" s="119">
        <v>330.61022342642531</v>
      </c>
    </row>
    <row r="742" spans="1:9" x14ac:dyDescent="0.3">
      <c r="A742" s="23">
        <v>724</v>
      </c>
      <c r="B742" s="52">
        <v>5.9564751737660647E-2</v>
      </c>
      <c r="C742" s="52">
        <v>0.26444489881578243</v>
      </c>
      <c r="D742" s="52">
        <v>0.49341204239239939</v>
      </c>
      <c r="E742" s="52">
        <v>0.19877296449723386</v>
      </c>
      <c r="F742" s="52">
        <v>0.10160685226093601</v>
      </c>
      <c r="G742" s="52">
        <v>4.4273994780614244E-2</v>
      </c>
      <c r="H742" s="52">
        <v>0.10283121404542328</v>
      </c>
      <c r="I742" s="119">
        <v>124.09980493935126</v>
      </c>
    </row>
    <row r="743" spans="1:9" x14ac:dyDescent="0.3">
      <c r="A743" s="23">
        <v>725</v>
      </c>
      <c r="B743" s="52">
        <v>6.3053647899292589E-2</v>
      </c>
      <c r="C743" s="52">
        <v>0.27662879001815421</v>
      </c>
      <c r="D743" s="52">
        <v>0.55320000314141737</v>
      </c>
      <c r="E743" s="52">
        <v>0.18798889510417197</v>
      </c>
      <c r="F743" s="52">
        <v>9.9140190080726692E-2</v>
      </c>
      <c r="G743" s="52">
        <v>4.253911214601782E-2</v>
      </c>
      <c r="H743" s="52">
        <v>0.11194680911089469</v>
      </c>
      <c r="I743" s="119">
        <v>172.15240235049149</v>
      </c>
    </row>
    <row r="744" spans="1:9" x14ac:dyDescent="0.3">
      <c r="A744" s="23">
        <v>726</v>
      </c>
      <c r="B744" s="52">
        <v>5.8887683627417808E-2</v>
      </c>
      <c r="C744" s="52">
        <v>0.29327151857464701</v>
      </c>
      <c r="D744" s="52">
        <v>0.48922751309514489</v>
      </c>
      <c r="E744" s="52">
        <v>0.20778249633490756</v>
      </c>
      <c r="F744" s="52">
        <v>0.10486546928667421</v>
      </c>
      <c r="G744" s="52">
        <v>4.363978954750139E-2</v>
      </c>
      <c r="H744" s="52">
        <v>0.10587838678605553</v>
      </c>
      <c r="I744" s="119">
        <v>177.25538772000672</v>
      </c>
    </row>
    <row r="745" spans="1:9" x14ac:dyDescent="0.3">
      <c r="A745" s="23">
        <v>727</v>
      </c>
      <c r="B745" s="52">
        <v>5.6672340195113712E-2</v>
      </c>
      <c r="C745" s="52">
        <v>0.27307304358065299</v>
      </c>
      <c r="D745" s="52">
        <v>0.45737432107721421</v>
      </c>
      <c r="E745" s="52">
        <v>0.20830330601267247</v>
      </c>
      <c r="F745" s="52">
        <v>9.1550113262705041E-2</v>
      </c>
      <c r="G745" s="52">
        <v>6.5666659186891879E-2</v>
      </c>
      <c r="H745" s="52">
        <v>9.561767554221616E-2</v>
      </c>
      <c r="I745" s="119">
        <v>566.66121017677426</v>
      </c>
    </row>
    <row r="746" spans="1:9" x14ac:dyDescent="0.3">
      <c r="A746" s="23">
        <v>728</v>
      </c>
      <c r="B746" s="52">
        <v>5.6613550242764425E-2</v>
      </c>
      <c r="C746" s="52">
        <v>0.29337735669794718</v>
      </c>
      <c r="D746" s="52">
        <v>0.51708058494344655</v>
      </c>
      <c r="E746" s="52">
        <v>0.20853342245888246</v>
      </c>
      <c r="F746" s="52">
        <v>9.7217871830799302E-2</v>
      </c>
      <c r="G746" s="52">
        <v>5.747518972614097E-2</v>
      </c>
      <c r="H746" s="52">
        <v>0.11345347621296067</v>
      </c>
      <c r="I746" s="119">
        <v>375.66873948941435</v>
      </c>
    </row>
    <row r="747" spans="1:9" x14ac:dyDescent="0.3">
      <c r="A747" s="23">
        <v>729</v>
      </c>
      <c r="B747" s="52">
        <v>4.8515208550130071E-2</v>
      </c>
      <c r="C747" s="52">
        <v>0.26234884281820964</v>
      </c>
      <c r="D747" s="52">
        <v>0.52926671479887477</v>
      </c>
      <c r="E747" s="52">
        <v>0.18951064545580912</v>
      </c>
      <c r="F747" s="52">
        <v>0.10164297467271582</v>
      </c>
      <c r="G747" s="52">
        <v>4.8773327158564153E-2</v>
      </c>
      <c r="H747" s="52">
        <v>0.10477196711662326</v>
      </c>
      <c r="I747" s="119">
        <v>128.47038052524576</v>
      </c>
    </row>
    <row r="748" spans="1:9" x14ac:dyDescent="0.3">
      <c r="A748" s="23">
        <v>730</v>
      </c>
      <c r="B748" s="52">
        <v>7.0485518309175529E-2</v>
      </c>
      <c r="C748" s="52">
        <v>0.27891363048158646</v>
      </c>
      <c r="D748" s="52">
        <v>0.73629832723278121</v>
      </c>
      <c r="E748" s="52">
        <v>0.19050327001998954</v>
      </c>
      <c r="F748" s="52">
        <v>8.1174690504447811E-2</v>
      </c>
      <c r="G748" s="52">
        <v>4.3239430283435382E-2</v>
      </c>
      <c r="H748" s="52">
        <v>0.10802789133718445</v>
      </c>
      <c r="I748" s="119">
        <v>410.05283095182421</v>
      </c>
    </row>
    <row r="749" spans="1:9" x14ac:dyDescent="0.3">
      <c r="A749" s="23">
        <v>731</v>
      </c>
      <c r="B749" s="52">
        <v>5.475508366538883E-2</v>
      </c>
      <c r="C749" s="52">
        <v>0.25222169185288834</v>
      </c>
      <c r="D749" s="52">
        <v>0.54043870971220676</v>
      </c>
      <c r="E749" s="52">
        <v>0.18761346851584068</v>
      </c>
      <c r="F749" s="52">
        <v>0.10352431763567761</v>
      </c>
      <c r="G749" s="52">
        <v>6.3833698460661253E-2</v>
      </c>
      <c r="H749" s="52">
        <v>0.11432776764790217</v>
      </c>
      <c r="I749" s="119">
        <v>202.08809390041966</v>
      </c>
    </row>
    <row r="750" spans="1:9" x14ac:dyDescent="0.3">
      <c r="A750" s="23">
        <v>732</v>
      </c>
      <c r="B750" s="52">
        <v>8.3442559866389612E-2</v>
      </c>
      <c r="C750" s="52">
        <v>0.2915956178737088</v>
      </c>
      <c r="D750" s="52">
        <v>0.51021403007985722</v>
      </c>
      <c r="E750" s="52">
        <v>0.15976879244767969</v>
      </c>
      <c r="F750" s="52">
        <v>0.10399341161485445</v>
      </c>
      <c r="G750" s="52">
        <v>3.1864971438220813E-2</v>
      </c>
      <c r="H750" s="52">
        <v>0.10718108414080968</v>
      </c>
      <c r="I750" s="119">
        <v>155.84399891897209</v>
      </c>
    </row>
    <row r="751" spans="1:9" x14ac:dyDescent="0.3">
      <c r="A751" s="23">
        <v>733</v>
      </c>
      <c r="B751" s="52">
        <v>7.140879569281755E-2</v>
      </c>
      <c r="C751" s="52">
        <v>0.31235560567678566</v>
      </c>
      <c r="D751" s="52">
        <v>0.65979262858753152</v>
      </c>
      <c r="E751" s="52">
        <v>0.21829246704676963</v>
      </c>
      <c r="F751" s="52">
        <v>9.7247675614642259E-2</v>
      </c>
      <c r="G751" s="52">
        <v>4.0991820884097772E-2</v>
      </c>
      <c r="H751" s="52">
        <v>0.11489802958275397</v>
      </c>
      <c r="I751" s="119">
        <v>301.1660760707498</v>
      </c>
    </row>
    <row r="752" spans="1:9" x14ac:dyDescent="0.3">
      <c r="A752" s="23">
        <v>734</v>
      </c>
      <c r="B752" s="52">
        <v>5.400400051054316E-2</v>
      </c>
      <c r="C752" s="52">
        <v>0.27654696772928572</v>
      </c>
      <c r="D752" s="52">
        <v>0.46643889585306847</v>
      </c>
      <c r="E752" s="52">
        <v>0.1774583652133124</v>
      </c>
      <c r="F752" s="52">
        <v>9.2534673488580133E-2</v>
      </c>
      <c r="G752" s="52">
        <v>4.9488865424688444E-2</v>
      </c>
      <c r="H752" s="52">
        <v>9.8393447252963756E-2</v>
      </c>
      <c r="I752" s="119">
        <v>275.98869690635291</v>
      </c>
    </row>
    <row r="753" spans="1:9" x14ac:dyDescent="0.3">
      <c r="A753" s="23">
        <v>735</v>
      </c>
      <c r="B753" s="52">
        <v>6.3199793478085436E-2</v>
      </c>
      <c r="C753" s="52">
        <v>0.28043477400691857</v>
      </c>
      <c r="D753" s="52">
        <v>0.63711597186892899</v>
      </c>
      <c r="E753" s="52">
        <v>0.18480887900947698</v>
      </c>
      <c r="F753" s="52">
        <v>9.5719157074937333E-2</v>
      </c>
      <c r="G753" s="52">
        <v>4.6220971160143502E-2</v>
      </c>
      <c r="H753" s="52">
        <v>9.4778999518726523E-2</v>
      </c>
      <c r="I753" s="119">
        <v>240.72301425849707</v>
      </c>
    </row>
    <row r="754" spans="1:9" x14ac:dyDescent="0.3">
      <c r="A754" s="23">
        <v>736</v>
      </c>
      <c r="B754" s="52">
        <v>5.9541203526295626E-2</v>
      </c>
      <c r="C754" s="52">
        <v>0.2903395051494102</v>
      </c>
      <c r="D754" s="52">
        <v>0.71499833971141857</v>
      </c>
      <c r="E754" s="52">
        <v>0.16512722814143613</v>
      </c>
      <c r="F754" s="52">
        <v>9.2756705454405231E-2</v>
      </c>
      <c r="G754" s="52">
        <v>6.2101097595906742E-2</v>
      </c>
      <c r="H754" s="52">
        <v>0.10280803977923736</v>
      </c>
      <c r="I754" s="119">
        <v>542.71480780129764</v>
      </c>
    </row>
    <row r="755" spans="1:9" x14ac:dyDescent="0.3">
      <c r="A755" s="23">
        <v>737</v>
      </c>
      <c r="B755" s="52">
        <v>6.4804609998062868E-2</v>
      </c>
      <c r="C755" s="52">
        <v>0.25592130749559755</v>
      </c>
      <c r="D755" s="52">
        <v>0.45654265503827202</v>
      </c>
      <c r="E755" s="52">
        <v>0.19366197198398347</v>
      </c>
      <c r="F755" s="52">
        <v>9.9939989071573587E-2</v>
      </c>
      <c r="G755" s="52">
        <v>7.2180347704717457E-2</v>
      </c>
      <c r="H755" s="52">
        <v>0.10319424031055502</v>
      </c>
      <c r="I755" s="119">
        <v>422.43638514152138</v>
      </c>
    </row>
    <row r="756" spans="1:9" x14ac:dyDescent="0.3">
      <c r="A756" s="23">
        <v>738</v>
      </c>
      <c r="B756" s="52">
        <v>6.6075180894255861E-2</v>
      </c>
      <c r="C756" s="52">
        <v>0.27956512838840197</v>
      </c>
      <c r="D756" s="52">
        <v>0.57904227170469458</v>
      </c>
      <c r="E756" s="52">
        <v>0.19750095207388996</v>
      </c>
      <c r="F756" s="52">
        <v>9.5283764920454997E-2</v>
      </c>
      <c r="G756" s="52">
        <v>3.8824284391869524E-2</v>
      </c>
      <c r="H756" s="52">
        <v>0.11862155440868519</v>
      </c>
      <c r="I756" s="119">
        <v>192.26512091613495</v>
      </c>
    </row>
    <row r="757" spans="1:9" x14ac:dyDescent="0.3">
      <c r="A757" s="23">
        <v>739</v>
      </c>
      <c r="B757" s="52">
        <v>6.3512063476619376E-2</v>
      </c>
      <c r="C757" s="52">
        <v>0.2815340523813416</v>
      </c>
      <c r="D757" s="52">
        <v>0.43799959727559878</v>
      </c>
      <c r="E757" s="52">
        <v>0.1893328858064664</v>
      </c>
      <c r="F757" s="52">
        <v>9.6701146454284292E-2</v>
      </c>
      <c r="G757" s="52">
        <v>5.2318238606482312E-2</v>
      </c>
      <c r="H757" s="52">
        <v>9.3167915057567857E-2</v>
      </c>
      <c r="I757" s="119">
        <v>291.25157487585636</v>
      </c>
    </row>
    <row r="758" spans="1:9" x14ac:dyDescent="0.3">
      <c r="A758" s="23">
        <v>740</v>
      </c>
      <c r="B758" s="52">
        <v>5.8204258674499097E-2</v>
      </c>
      <c r="C758" s="52">
        <v>0.29507727689933028</v>
      </c>
      <c r="D758" s="52">
        <v>0.52859559155117108</v>
      </c>
      <c r="E758" s="52">
        <v>0.18080904797665742</v>
      </c>
      <c r="F758" s="52">
        <v>0.10237982660035944</v>
      </c>
      <c r="G758" s="52">
        <v>5.6009405497735393E-2</v>
      </c>
      <c r="H758" s="52">
        <v>0.11197322491951887</v>
      </c>
      <c r="I758" s="119">
        <v>297.38177911730554</v>
      </c>
    </row>
    <row r="759" spans="1:9" x14ac:dyDescent="0.3">
      <c r="A759" s="23">
        <v>741</v>
      </c>
      <c r="B759" s="52">
        <v>5.5661852422559895E-2</v>
      </c>
      <c r="C759" s="52">
        <v>0.31531460874980749</v>
      </c>
      <c r="D759" s="52">
        <v>0.61423117372642655</v>
      </c>
      <c r="E759" s="52">
        <v>0.17997658573174086</v>
      </c>
      <c r="F759" s="52">
        <v>0.10320465435893753</v>
      </c>
      <c r="G759" s="52">
        <v>4.8098918992137807E-2</v>
      </c>
      <c r="H759" s="52">
        <v>0.11513655948561297</v>
      </c>
      <c r="I759" s="119">
        <v>276.72292191249863</v>
      </c>
    </row>
    <row r="760" spans="1:9" x14ac:dyDescent="0.3">
      <c r="A760" s="23">
        <v>742</v>
      </c>
      <c r="B760" s="52">
        <v>6.6818191309122865E-2</v>
      </c>
      <c r="C760" s="52">
        <v>0.27339301065423127</v>
      </c>
      <c r="D760" s="52">
        <v>0.54832280617562867</v>
      </c>
      <c r="E760" s="52">
        <v>0.18186039221999101</v>
      </c>
      <c r="F760" s="52">
        <v>0.10377156175289792</v>
      </c>
      <c r="G760" s="52">
        <v>6.0109752020998934E-2</v>
      </c>
      <c r="H760" s="52">
        <v>0.10933947415826915</v>
      </c>
      <c r="I760" s="119">
        <v>262.17064321175718</v>
      </c>
    </row>
    <row r="761" spans="1:9" x14ac:dyDescent="0.3">
      <c r="A761" s="23">
        <v>743</v>
      </c>
      <c r="B761" s="52">
        <v>6.362805551006992E-2</v>
      </c>
      <c r="C761" s="52">
        <v>0.27445977268343691</v>
      </c>
      <c r="D761" s="52">
        <v>0.57117662706716421</v>
      </c>
      <c r="E761" s="52">
        <v>0.2240586240276195</v>
      </c>
      <c r="F761" s="52">
        <v>9.7940215353384874E-2</v>
      </c>
      <c r="G761" s="52">
        <v>4.8117936141377632E-2</v>
      </c>
      <c r="H761" s="52">
        <v>9.0207726765467552E-2</v>
      </c>
      <c r="I761" s="119">
        <v>215.22100784769805</v>
      </c>
    </row>
    <row r="762" spans="1:9" x14ac:dyDescent="0.3">
      <c r="A762" s="23">
        <v>744</v>
      </c>
      <c r="B762" s="52">
        <v>7.1962172254866785E-2</v>
      </c>
      <c r="C762" s="52">
        <v>0.29070536778373696</v>
      </c>
      <c r="D762" s="52">
        <v>0.59543468748571016</v>
      </c>
      <c r="E762" s="52">
        <v>0.17174486925621327</v>
      </c>
      <c r="F762" s="52">
        <v>9.4410203694040448E-2</v>
      </c>
      <c r="G762" s="52">
        <v>4.8082660080918882E-2</v>
      </c>
      <c r="H762" s="52">
        <v>0.11088192527674039</v>
      </c>
      <c r="I762" s="119">
        <v>326.39200103841841</v>
      </c>
    </row>
    <row r="763" spans="1:9" x14ac:dyDescent="0.3">
      <c r="A763" s="23">
        <v>745</v>
      </c>
      <c r="B763" s="52">
        <v>7.9011215003224597E-2</v>
      </c>
      <c r="C763" s="52">
        <v>0.27414514013434416</v>
      </c>
      <c r="D763" s="52">
        <v>0.47470005650597402</v>
      </c>
      <c r="E763" s="52">
        <v>0.15824739716622649</v>
      </c>
      <c r="F763" s="52">
        <v>9.3218695852062231E-2</v>
      </c>
      <c r="G763" s="52">
        <v>5.2782595293949616E-2</v>
      </c>
      <c r="H763" s="52">
        <v>0.11140200190384336</v>
      </c>
      <c r="I763" s="119">
        <v>346.70250197856831</v>
      </c>
    </row>
    <row r="764" spans="1:9" x14ac:dyDescent="0.3">
      <c r="A764" s="23">
        <v>746</v>
      </c>
      <c r="B764" s="52">
        <v>6.3496485599516192E-2</v>
      </c>
      <c r="C764" s="52">
        <v>0.27645989797918857</v>
      </c>
      <c r="D764" s="52">
        <v>0.53258289424486138</v>
      </c>
      <c r="E764" s="52">
        <v>0.18786699990403735</v>
      </c>
      <c r="F764" s="52">
        <v>9.5905598246608798E-2</v>
      </c>
      <c r="G764" s="52">
        <v>4.1752354340968342E-2</v>
      </c>
      <c r="H764" s="52">
        <v>0.10627345510519014</v>
      </c>
      <c r="I764" s="119">
        <v>192.94252229778439</v>
      </c>
    </row>
    <row r="765" spans="1:9" x14ac:dyDescent="0.3">
      <c r="A765" s="23">
        <v>747</v>
      </c>
      <c r="B765" s="52">
        <v>6.7918692720398605E-2</v>
      </c>
      <c r="C765" s="52">
        <v>0.30035829284336502</v>
      </c>
      <c r="D765" s="52">
        <v>0.48606451310098603</v>
      </c>
      <c r="E765" s="52">
        <v>0.20412520500307907</v>
      </c>
      <c r="F765" s="52">
        <v>0.10458415705476981</v>
      </c>
      <c r="G765" s="52">
        <v>4.4199846177479969E-2</v>
      </c>
      <c r="H765" s="52">
        <v>9.8056078234992988E-2</v>
      </c>
      <c r="I765" s="119">
        <v>216.87539303403264</v>
      </c>
    </row>
    <row r="766" spans="1:9" x14ac:dyDescent="0.3">
      <c r="A766" s="23">
        <v>748</v>
      </c>
      <c r="B766" s="52">
        <v>6.1322509672849794E-2</v>
      </c>
      <c r="C766" s="52">
        <v>0.30102457221495049</v>
      </c>
      <c r="D766" s="52">
        <v>0.45713403679043157</v>
      </c>
      <c r="E766" s="52">
        <v>0.19543526326578559</v>
      </c>
      <c r="F766" s="52">
        <v>9.4437402584291757E-2</v>
      </c>
      <c r="G766" s="52">
        <v>6.0854996795881952E-2</v>
      </c>
      <c r="H766" s="52">
        <v>9.7192519595971139E-2</v>
      </c>
      <c r="I766" s="119">
        <v>531.35837596602596</v>
      </c>
    </row>
    <row r="767" spans="1:9" x14ac:dyDescent="0.3">
      <c r="A767" s="23">
        <v>749</v>
      </c>
      <c r="B767" s="52">
        <v>5.3799335870739394E-2</v>
      </c>
      <c r="C767" s="52">
        <v>0.28503022317139975</v>
      </c>
      <c r="D767" s="52">
        <v>0.46046895351950473</v>
      </c>
      <c r="E767" s="52">
        <v>0.19647426861291425</v>
      </c>
      <c r="F767" s="52">
        <v>9.185820195026731E-2</v>
      </c>
      <c r="G767" s="52">
        <v>4.493566800795238E-2</v>
      </c>
      <c r="H767" s="52">
        <v>0.10381294224164628</v>
      </c>
      <c r="I767" s="119">
        <v>268.42730889918084</v>
      </c>
    </row>
    <row r="768" spans="1:9" x14ac:dyDescent="0.3">
      <c r="A768" s="23">
        <v>750</v>
      </c>
      <c r="B768" s="52">
        <v>6.0570272286221964E-2</v>
      </c>
      <c r="C768" s="52">
        <v>0.27383552764869035</v>
      </c>
      <c r="D768" s="52">
        <v>0.57387725359684028</v>
      </c>
      <c r="E768" s="52">
        <v>0.18385714798732705</v>
      </c>
      <c r="F768" s="52">
        <v>7.9049546194260259E-2</v>
      </c>
      <c r="G768" s="52">
        <v>4.9440650015824913E-2</v>
      </c>
      <c r="H768" s="52">
        <v>0.11472641136539251</v>
      </c>
      <c r="I768" s="119">
        <v>521.25654289395061</v>
      </c>
    </row>
    <row r="769" spans="1:9" x14ac:dyDescent="0.3">
      <c r="A769" s="23">
        <v>751</v>
      </c>
      <c r="B769" s="52">
        <v>7.9325991802125947E-2</v>
      </c>
      <c r="C769" s="52">
        <v>0.29409856441063126</v>
      </c>
      <c r="D769" s="52">
        <v>0.70493589290516245</v>
      </c>
      <c r="E769" s="52">
        <v>0.18110910268944547</v>
      </c>
      <c r="F769" s="52">
        <v>8.9923307257406604E-2</v>
      </c>
      <c r="G769" s="52">
        <v>4.793718189117363E-2</v>
      </c>
      <c r="H769" s="52">
        <v>9.9201872321636131E-2</v>
      </c>
      <c r="I769" s="119">
        <v>419.15062472704142</v>
      </c>
    </row>
    <row r="770" spans="1:9" x14ac:dyDescent="0.3">
      <c r="A770" s="23">
        <v>752</v>
      </c>
      <c r="B770" s="52">
        <v>8.1844040088540709E-2</v>
      </c>
      <c r="C770" s="52">
        <v>0.27231751738238602</v>
      </c>
      <c r="D770" s="52">
        <v>0.45881514108356269</v>
      </c>
      <c r="E770" s="52">
        <v>0.22546027352366285</v>
      </c>
      <c r="F770" s="52">
        <v>0.10249738644536666</v>
      </c>
      <c r="G770" s="52">
        <v>2.9928496943604502E-2</v>
      </c>
      <c r="H770" s="52">
        <v>0.1176904782774624</v>
      </c>
      <c r="I770" s="119">
        <v>103.46057115177445</v>
      </c>
    </row>
    <row r="771" spans="1:9" x14ac:dyDescent="0.3">
      <c r="A771" s="23">
        <v>753</v>
      </c>
      <c r="B771" s="52">
        <v>6.1026953988029653E-2</v>
      </c>
      <c r="C771" s="52">
        <v>0.25533945935093949</v>
      </c>
      <c r="D771" s="52">
        <v>0.53003753507959728</v>
      </c>
      <c r="E771" s="52">
        <v>0.16972812847070512</v>
      </c>
      <c r="F771" s="52">
        <v>9.703847795176461E-2</v>
      </c>
      <c r="G771" s="52">
        <v>4.271245486710136E-2</v>
      </c>
      <c r="H771" s="52">
        <v>0.11438315916353792</v>
      </c>
      <c r="I771" s="119">
        <v>121.40712974508632</v>
      </c>
    </row>
    <row r="772" spans="1:9" x14ac:dyDescent="0.3">
      <c r="A772" s="23">
        <v>754</v>
      </c>
      <c r="B772" s="52">
        <v>5.2883101311845059E-2</v>
      </c>
      <c r="C772" s="52">
        <v>0.28167031211578031</v>
      </c>
      <c r="D772" s="52">
        <v>0.57612113058953773</v>
      </c>
      <c r="E772" s="52">
        <v>0.20180861424611457</v>
      </c>
      <c r="F772" s="52">
        <v>9.244863498075731E-2</v>
      </c>
      <c r="G772" s="52">
        <v>6.3289611468095391E-2</v>
      </c>
      <c r="H772" s="52">
        <v>9.4987516029564317E-2</v>
      </c>
      <c r="I772" s="119">
        <v>514.60317525357129</v>
      </c>
    </row>
    <row r="773" spans="1:9" x14ac:dyDescent="0.3">
      <c r="A773" s="23">
        <v>755</v>
      </c>
      <c r="B773" s="52">
        <v>5.3201776427298619E-2</v>
      </c>
      <c r="C773" s="52">
        <v>0.31332685222683887</v>
      </c>
      <c r="D773" s="52">
        <v>0.5291672733350069</v>
      </c>
      <c r="E773" s="52">
        <v>0.20766596962937664</v>
      </c>
      <c r="F773" s="52">
        <v>0.10102911118541787</v>
      </c>
      <c r="G773" s="52">
        <v>5.337238207380339E-2</v>
      </c>
      <c r="H773" s="52">
        <v>0.10103807508452198</v>
      </c>
      <c r="I773" s="119">
        <v>336.90622182176457</v>
      </c>
    </row>
    <row r="774" spans="1:9" x14ac:dyDescent="0.3">
      <c r="A774" s="23">
        <v>756</v>
      </c>
      <c r="B774" s="52">
        <v>7.502031669601214E-2</v>
      </c>
      <c r="C774" s="52">
        <v>0.28121183793754662</v>
      </c>
      <c r="D774" s="52">
        <v>0.48674463866121009</v>
      </c>
      <c r="E774" s="52">
        <v>0.20723660072267544</v>
      </c>
      <c r="F774" s="52">
        <v>8.7702131562565844E-2</v>
      </c>
      <c r="G774" s="52">
        <v>5.3694934557871027E-2</v>
      </c>
      <c r="H774" s="52">
        <v>0.10963890562332627</v>
      </c>
      <c r="I774" s="119">
        <v>484.05054123101962</v>
      </c>
    </row>
    <row r="775" spans="1:9" x14ac:dyDescent="0.3">
      <c r="A775" s="23">
        <v>757</v>
      </c>
      <c r="B775" s="52">
        <v>7.330431476883062E-2</v>
      </c>
      <c r="C775" s="52">
        <v>0.24658834163496501</v>
      </c>
      <c r="D775" s="52">
        <v>0.44570500371012417</v>
      </c>
      <c r="E775" s="52">
        <v>0.18896065269872131</v>
      </c>
      <c r="F775" s="52">
        <v>8.1071064285764313E-2</v>
      </c>
      <c r="G775" s="52">
        <v>4.5592907405650668E-2</v>
      </c>
      <c r="H775" s="52">
        <v>9.7986372848790693E-2</v>
      </c>
      <c r="I775" s="119">
        <v>298.84969002686375</v>
      </c>
    </row>
    <row r="776" spans="1:9" x14ac:dyDescent="0.3">
      <c r="A776" s="23">
        <v>758</v>
      </c>
      <c r="B776" s="52">
        <v>6.8742258629626796E-2</v>
      </c>
      <c r="C776" s="52">
        <v>0.26319738508831952</v>
      </c>
      <c r="D776" s="52">
        <v>0.43365338877644599</v>
      </c>
      <c r="E776" s="52">
        <v>0.169279115734601</v>
      </c>
      <c r="F776" s="52">
        <v>0.10161182808865427</v>
      </c>
      <c r="G776" s="52">
        <v>5.4378982616914331E-2</v>
      </c>
      <c r="H776" s="52">
        <v>0.10204128721078481</v>
      </c>
      <c r="I776" s="119">
        <v>200.06251046973316</v>
      </c>
    </row>
    <row r="777" spans="1:9" x14ac:dyDescent="0.3">
      <c r="A777" s="23">
        <v>759</v>
      </c>
      <c r="B777" s="52">
        <v>7.1566429879859089E-2</v>
      </c>
      <c r="C777" s="52">
        <v>0.26372600967271431</v>
      </c>
      <c r="D777" s="52">
        <v>0.67467220479628387</v>
      </c>
      <c r="E777" s="52">
        <v>0.17441051956200532</v>
      </c>
      <c r="F777" s="52">
        <v>0.10403570880315505</v>
      </c>
      <c r="G777" s="52">
        <v>6.5552146875667142E-2</v>
      </c>
      <c r="H777" s="52">
        <v>0.11202276636075741</v>
      </c>
      <c r="I777" s="119">
        <v>290.29881202484648</v>
      </c>
    </row>
    <row r="778" spans="1:9" x14ac:dyDescent="0.3">
      <c r="A778" s="23">
        <v>760</v>
      </c>
      <c r="B778" s="52">
        <v>6.1354239505813896E-2</v>
      </c>
      <c r="C778" s="52">
        <v>0.25307907898185444</v>
      </c>
      <c r="D778" s="52">
        <v>0.50057308747114104</v>
      </c>
      <c r="E778" s="52">
        <v>0.19518845264261289</v>
      </c>
      <c r="F778" s="52">
        <v>9.3762539745333703E-2</v>
      </c>
      <c r="G778" s="52">
        <v>4.1180261827306788E-2</v>
      </c>
      <c r="H778" s="52">
        <v>9.875285535167852E-2</v>
      </c>
      <c r="I778" s="119">
        <v>129.2051003244309</v>
      </c>
    </row>
    <row r="779" spans="1:9" x14ac:dyDescent="0.3">
      <c r="A779" s="23">
        <v>761</v>
      </c>
      <c r="B779" s="52">
        <v>5.8852338156986386E-2</v>
      </c>
      <c r="C779" s="52">
        <v>0.26440683925046016</v>
      </c>
      <c r="D779" s="52">
        <v>0.68546257409656197</v>
      </c>
      <c r="E779" s="52">
        <v>0.19085548448094913</v>
      </c>
      <c r="F779" s="52">
        <v>9.1340377893034175E-2</v>
      </c>
      <c r="G779" s="52">
        <v>5.2776327256655202E-2</v>
      </c>
      <c r="H779" s="52">
        <v>9.8386659950763261E-2</v>
      </c>
      <c r="I779" s="119">
        <v>291.20851505910923</v>
      </c>
    </row>
    <row r="780" spans="1:9" x14ac:dyDescent="0.3">
      <c r="A780" s="23">
        <v>762</v>
      </c>
      <c r="B780" s="52">
        <v>6.6393016132054852E-2</v>
      </c>
      <c r="C780" s="52">
        <v>0.27234036875086803</v>
      </c>
      <c r="D780" s="52">
        <v>0.59789487619112569</v>
      </c>
      <c r="E780" s="52">
        <v>0.20033494045388353</v>
      </c>
      <c r="F780" s="52">
        <v>7.8806943718826364E-2</v>
      </c>
      <c r="G780" s="52">
        <v>5.8573502781169073E-2</v>
      </c>
      <c r="H780" s="52">
        <v>0.115087585841345</v>
      </c>
      <c r="I780" s="119">
        <v>857.00671766890764</v>
      </c>
    </row>
    <row r="781" spans="1:9" x14ac:dyDescent="0.3">
      <c r="A781" s="23">
        <v>763</v>
      </c>
      <c r="B781" s="52">
        <v>5.5042845592260761E-2</v>
      </c>
      <c r="C781" s="52">
        <v>0.29672699765703897</v>
      </c>
      <c r="D781" s="52">
        <v>0.54402209517568723</v>
      </c>
      <c r="E781" s="52">
        <v>0.19634005718041073</v>
      </c>
      <c r="F781" s="52">
        <v>9.5868130720948214E-2</v>
      </c>
      <c r="G781" s="52">
        <v>5.4800811685683029E-2</v>
      </c>
      <c r="H781" s="52">
        <v>0.10098501108374605</v>
      </c>
      <c r="I781" s="119">
        <v>370.12110957849188</v>
      </c>
    </row>
    <row r="782" spans="1:9" x14ac:dyDescent="0.3">
      <c r="A782" s="23">
        <v>764</v>
      </c>
      <c r="B782" s="52">
        <v>5.0951419868260725E-2</v>
      </c>
      <c r="C782" s="52">
        <v>0.26960415200822102</v>
      </c>
      <c r="D782" s="52">
        <v>0.51086154546105178</v>
      </c>
      <c r="E782" s="52">
        <v>0.1767877490204082</v>
      </c>
      <c r="F782" s="52">
        <v>9.9039121303623842E-2</v>
      </c>
      <c r="G782" s="52">
        <v>5.3092059055021609E-2</v>
      </c>
      <c r="H782" s="52">
        <v>0.10551951049190553</v>
      </c>
      <c r="I782" s="119">
        <v>207.71136476765847</v>
      </c>
    </row>
    <row r="783" spans="1:9" x14ac:dyDescent="0.3">
      <c r="A783" s="23">
        <v>765</v>
      </c>
      <c r="B783" s="52">
        <v>6.1894397292868233E-2</v>
      </c>
      <c r="C783" s="52">
        <v>0.26109162926746871</v>
      </c>
      <c r="D783" s="52">
        <v>0.50874869994332217</v>
      </c>
      <c r="E783" s="52">
        <v>0.2055741562018274</v>
      </c>
      <c r="F783" s="52">
        <v>9.0140549175698331E-2</v>
      </c>
      <c r="G783" s="52">
        <v>4.8074020378044355E-2</v>
      </c>
      <c r="H783" s="52">
        <v>0.10157776301481149</v>
      </c>
      <c r="I783" s="119">
        <v>246.54935538321385</v>
      </c>
    </row>
    <row r="784" spans="1:9" x14ac:dyDescent="0.3">
      <c r="A784" s="23">
        <v>766</v>
      </c>
      <c r="B784" s="52">
        <v>6.0705163565786334E-2</v>
      </c>
      <c r="C784" s="52">
        <v>0.27619438902089427</v>
      </c>
      <c r="D784" s="52">
        <v>0.45443350383409076</v>
      </c>
      <c r="E784" s="52">
        <v>0.20551480223618937</v>
      </c>
      <c r="F784" s="52">
        <v>0.10483224903138622</v>
      </c>
      <c r="G784" s="52">
        <v>5.5536815707945664E-2</v>
      </c>
      <c r="H784" s="52">
        <v>0.10303171443198522</v>
      </c>
      <c r="I784" s="119">
        <v>209.23927740798851</v>
      </c>
    </row>
    <row r="785" spans="1:9" x14ac:dyDescent="0.3">
      <c r="A785" s="23">
        <v>767</v>
      </c>
      <c r="B785" s="52">
        <v>5.8259582230853084E-2</v>
      </c>
      <c r="C785" s="52">
        <v>0.30033348060674608</v>
      </c>
      <c r="D785" s="52">
        <v>0.50493953318421236</v>
      </c>
      <c r="E785" s="52">
        <v>0.20548434092636378</v>
      </c>
      <c r="F785" s="52">
        <v>9.3280634224761905E-2</v>
      </c>
      <c r="G785" s="52">
        <v>5.073432360401002E-2</v>
      </c>
      <c r="H785" s="52">
        <v>0.1080434569600276</v>
      </c>
      <c r="I785" s="119">
        <v>377.91838344617145</v>
      </c>
    </row>
    <row r="786" spans="1:9" x14ac:dyDescent="0.3">
      <c r="A786" s="23">
        <v>768</v>
      </c>
      <c r="B786" s="52">
        <v>5.9536502233856238E-2</v>
      </c>
      <c r="C786" s="52">
        <v>0.27528420345685045</v>
      </c>
      <c r="D786" s="52">
        <v>0.54990608185175827</v>
      </c>
      <c r="E786" s="52">
        <v>0.19195718194893449</v>
      </c>
      <c r="F786" s="52">
        <v>8.5341705461363784E-2</v>
      </c>
      <c r="G786" s="52">
        <v>4.7976754242277195E-2</v>
      </c>
      <c r="H786" s="52">
        <v>0.11739516147553518</v>
      </c>
      <c r="I786" s="119">
        <v>367.07812358161806</v>
      </c>
    </row>
    <row r="787" spans="1:9" x14ac:dyDescent="0.3">
      <c r="A787" s="23">
        <v>769</v>
      </c>
      <c r="B787" s="52">
        <v>7.4491701210003217E-2</v>
      </c>
      <c r="C787" s="52">
        <v>0.25995366655803415</v>
      </c>
      <c r="D787" s="52">
        <v>0.53730262135760798</v>
      </c>
      <c r="E787" s="52">
        <v>0.17066329120563031</v>
      </c>
      <c r="F787" s="52">
        <v>0.10245100124645551</v>
      </c>
      <c r="G787" s="52">
        <v>4.4048007321860885E-2</v>
      </c>
      <c r="H787" s="52">
        <v>0.10706115659739668</v>
      </c>
      <c r="I787" s="119">
        <v>123.56170035368068</v>
      </c>
    </row>
    <row r="788" spans="1:9" x14ac:dyDescent="0.3">
      <c r="A788" s="23">
        <v>770</v>
      </c>
      <c r="B788" s="52">
        <v>6.8672000012221346E-2</v>
      </c>
      <c r="C788" s="52">
        <v>0.28624833541925232</v>
      </c>
      <c r="D788" s="52">
        <v>0.71646427372064159</v>
      </c>
      <c r="E788" s="52">
        <v>0.19151920724351049</v>
      </c>
      <c r="F788" s="52">
        <v>9.0308688516582025E-2</v>
      </c>
      <c r="G788" s="52">
        <v>5.0582653652859237E-2</v>
      </c>
      <c r="H788" s="52">
        <v>9.8046335256550515E-2</v>
      </c>
      <c r="I788" s="119">
        <v>390.74684315408808</v>
      </c>
    </row>
    <row r="789" spans="1:9" x14ac:dyDescent="0.3">
      <c r="A789" s="23">
        <v>771</v>
      </c>
      <c r="B789" s="52">
        <v>8.1793956812452259E-2</v>
      </c>
      <c r="C789" s="52">
        <v>0.26223375388330949</v>
      </c>
      <c r="D789" s="52">
        <v>0.48942002890254921</v>
      </c>
      <c r="E789" s="52">
        <v>0.19967034362035121</v>
      </c>
      <c r="F789" s="52">
        <v>8.833709934908987E-2</v>
      </c>
      <c r="G789" s="52">
        <v>6.8941845056968612E-2</v>
      </c>
      <c r="H789" s="52">
        <v>0.11395377718553443</v>
      </c>
      <c r="I789" s="119">
        <v>842.09005690135905</v>
      </c>
    </row>
    <row r="790" spans="1:9" x14ac:dyDescent="0.3">
      <c r="A790" s="23">
        <v>772</v>
      </c>
      <c r="B790" s="52">
        <v>5.9722476253974796E-2</v>
      </c>
      <c r="C790" s="52">
        <v>0.27482710656656267</v>
      </c>
      <c r="D790" s="52">
        <v>0.4343433711481986</v>
      </c>
      <c r="E790" s="52">
        <v>0.20517760266044538</v>
      </c>
      <c r="F790" s="52">
        <v>9.4791722017190563E-2</v>
      </c>
      <c r="G790" s="52">
        <v>5.3949550185355279E-2</v>
      </c>
      <c r="H790" s="52">
        <v>0.11576583229318121</v>
      </c>
      <c r="I790" s="119">
        <v>300.98718091574545</v>
      </c>
    </row>
    <row r="791" spans="1:9" x14ac:dyDescent="0.3">
      <c r="A791" s="23">
        <v>773</v>
      </c>
      <c r="B791" s="52">
        <v>5.5941111103752737E-2</v>
      </c>
      <c r="C791" s="52">
        <v>0.29204558131412123</v>
      </c>
      <c r="D791" s="52">
        <v>0.64328127060672735</v>
      </c>
      <c r="E791" s="52">
        <v>0.20563121076871022</v>
      </c>
      <c r="F791" s="52">
        <v>0.10152106577897992</v>
      </c>
      <c r="G791" s="52">
        <v>6.4915977732667607E-2</v>
      </c>
      <c r="H791" s="52">
        <v>8.2423981609223179E-2</v>
      </c>
      <c r="I791" s="119">
        <v>405.04265675049254</v>
      </c>
    </row>
    <row r="792" spans="1:9" x14ac:dyDescent="0.3">
      <c r="A792" s="23">
        <v>774</v>
      </c>
      <c r="B792" s="52">
        <v>6.2066928041022665E-2</v>
      </c>
      <c r="C792" s="52">
        <v>0.29993648016666102</v>
      </c>
      <c r="D792" s="52">
        <v>0.4536627167272807</v>
      </c>
      <c r="E792" s="52">
        <v>0.18516522573978322</v>
      </c>
      <c r="F792" s="52">
        <v>0.10232148040354716</v>
      </c>
      <c r="G792" s="52">
        <v>5.220128080411679E-2</v>
      </c>
      <c r="H792" s="52">
        <v>0.10808053712705162</v>
      </c>
      <c r="I792" s="119">
        <v>285.8222182963874</v>
      </c>
    </row>
    <row r="793" spans="1:9" x14ac:dyDescent="0.3">
      <c r="A793" s="23">
        <v>775</v>
      </c>
      <c r="B793" s="52">
        <v>6.4598590603693648E-2</v>
      </c>
      <c r="C793" s="52">
        <v>0.30778158828953939</v>
      </c>
      <c r="D793" s="52">
        <v>0.59511111851509713</v>
      </c>
      <c r="E793" s="52">
        <v>0.18994097595847378</v>
      </c>
      <c r="F793" s="52">
        <v>8.705427046714595E-2</v>
      </c>
      <c r="G793" s="52">
        <v>5.4424930886326724E-2</v>
      </c>
      <c r="H793" s="52">
        <v>0.102217031908962</v>
      </c>
      <c r="I793" s="119">
        <v>616.86898542249207</v>
      </c>
    </row>
    <row r="794" spans="1:9" x14ac:dyDescent="0.3">
      <c r="A794" s="23">
        <v>776</v>
      </c>
      <c r="B794" s="52">
        <v>5.4025871957201675E-2</v>
      </c>
      <c r="C794" s="52">
        <v>0.29173286529119458</v>
      </c>
      <c r="D794" s="52">
        <v>0.5781445029236324</v>
      </c>
      <c r="E794" s="52">
        <v>0.17780241598769031</v>
      </c>
      <c r="F794" s="52">
        <v>9.3441408550725344E-2</v>
      </c>
      <c r="G794" s="52">
        <v>4.2484392113734962E-2</v>
      </c>
      <c r="H794" s="52">
        <v>0.12404191407754571</v>
      </c>
      <c r="I794" s="119">
        <v>252.67280370988124</v>
      </c>
    </row>
    <row r="795" spans="1:9" x14ac:dyDescent="0.3">
      <c r="A795" s="23">
        <v>777</v>
      </c>
      <c r="B795" s="52">
        <v>5.7203330082228464E-2</v>
      </c>
      <c r="C795" s="52">
        <v>0.26969254308935908</v>
      </c>
      <c r="D795" s="52">
        <v>0.51112966629131684</v>
      </c>
      <c r="E795" s="52">
        <v>0.18991899919565106</v>
      </c>
      <c r="F795" s="52">
        <v>9.825836113992735E-2</v>
      </c>
      <c r="G795" s="52">
        <v>6.1053219456188426E-2</v>
      </c>
      <c r="H795" s="52">
        <v>0.11483003303532915</v>
      </c>
      <c r="I795" s="119">
        <v>313.74703143815123</v>
      </c>
    </row>
    <row r="796" spans="1:9" x14ac:dyDescent="0.3">
      <c r="A796" s="23">
        <v>778</v>
      </c>
      <c r="B796" s="52">
        <v>7.0424719358794852E-2</v>
      </c>
      <c r="C796" s="52">
        <v>0.29959681990355386</v>
      </c>
      <c r="D796" s="52">
        <v>0.5122923487100306</v>
      </c>
      <c r="E796" s="52">
        <v>0.17598641803580536</v>
      </c>
      <c r="F796" s="52">
        <v>8.2790604602587248E-2</v>
      </c>
      <c r="G796" s="52">
        <v>5.8690029500927603E-2</v>
      </c>
      <c r="H796" s="52">
        <v>9.331717721965388E-2</v>
      </c>
      <c r="I796" s="119">
        <v>878.63512742964042</v>
      </c>
    </row>
    <row r="797" spans="1:9" x14ac:dyDescent="0.3">
      <c r="A797" s="23">
        <v>779</v>
      </c>
      <c r="B797" s="52">
        <v>5.9804135540170063E-2</v>
      </c>
      <c r="C797" s="52">
        <v>0.29730696066157036</v>
      </c>
      <c r="D797" s="52">
        <v>0.52418504073112537</v>
      </c>
      <c r="E797" s="52">
        <v>0.20838153284960945</v>
      </c>
      <c r="F797" s="52">
        <v>0.10193011006026792</v>
      </c>
      <c r="G797" s="52">
        <v>4.5876096680488469E-2</v>
      </c>
      <c r="H797" s="52">
        <v>0.11206096529864999</v>
      </c>
      <c r="I797" s="119">
        <v>227.11326266037014</v>
      </c>
    </row>
    <row r="798" spans="1:9" x14ac:dyDescent="0.3">
      <c r="A798" s="23">
        <v>780</v>
      </c>
      <c r="B798" s="52">
        <v>5.6988289302655371E-2</v>
      </c>
      <c r="C798" s="52">
        <v>0.28696197678508917</v>
      </c>
      <c r="D798" s="52">
        <v>0.48534992220558076</v>
      </c>
      <c r="E798" s="52">
        <v>0.17651023700697907</v>
      </c>
      <c r="F798" s="52">
        <v>0.10185826144275295</v>
      </c>
      <c r="G798" s="52">
        <v>5.8480352626035917E-2</v>
      </c>
      <c r="H798" s="52">
        <v>0.10565673558977427</v>
      </c>
      <c r="I798" s="119">
        <v>298.78833488448396</v>
      </c>
    </row>
    <row r="799" spans="1:9" x14ac:dyDescent="0.3">
      <c r="A799" s="23">
        <v>781</v>
      </c>
      <c r="B799" s="52">
        <v>7.1804515001653232E-2</v>
      </c>
      <c r="C799" s="52">
        <v>0.29945370304584346</v>
      </c>
      <c r="D799" s="52">
        <v>0.53533811132385223</v>
      </c>
      <c r="E799" s="52">
        <v>0.20222172060649601</v>
      </c>
      <c r="F799" s="52">
        <v>0.10023307570395393</v>
      </c>
      <c r="G799" s="52">
        <v>5.4023113775414168E-2</v>
      </c>
      <c r="H799" s="52">
        <v>0.11270235482686458</v>
      </c>
      <c r="I799" s="119">
        <v>347.62195726718994</v>
      </c>
    </row>
    <row r="800" spans="1:9" x14ac:dyDescent="0.3">
      <c r="A800" s="23">
        <v>782</v>
      </c>
      <c r="B800" s="52">
        <v>6.6816510175280883E-2</v>
      </c>
      <c r="C800" s="52">
        <v>0.30255108603350961</v>
      </c>
      <c r="D800" s="52">
        <v>0.51260724558285953</v>
      </c>
      <c r="E800" s="52">
        <v>0.180999859859581</v>
      </c>
      <c r="F800" s="52">
        <v>0.10369146155616302</v>
      </c>
      <c r="G800" s="52">
        <v>5.3060512709094967E-2</v>
      </c>
      <c r="H800" s="52">
        <v>0.11240350671452817</v>
      </c>
      <c r="I800" s="119">
        <v>296.70556034146546</v>
      </c>
    </row>
    <row r="801" spans="1:9" x14ac:dyDescent="0.3">
      <c r="A801" s="23">
        <v>783</v>
      </c>
      <c r="B801" s="52">
        <v>6.3633926512521172E-2</v>
      </c>
      <c r="C801" s="52">
        <v>0.28105468044552961</v>
      </c>
      <c r="D801" s="52">
        <v>0.51285770139624998</v>
      </c>
      <c r="E801" s="52">
        <v>0.19058381639320579</v>
      </c>
      <c r="F801" s="52">
        <v>0.10440533262806119</v>
      </c>
      <c r="G801" s="52">
        <v>6.1083514588592007E-2</v>
      </c>
      <c r="H801" s="52">
        <v>0.10884197744395889</v>
      </c>
      <c r="I801" s="119">
        <v>286.59498151427749</v>
      </c>
    </row>
    <row r="802" spans="1:9" x14ac:dyDescent="0.3">
      <c r="A802" s="23">
        <v>784</v>
      </c>
      <c r="B802" s="52">
        <v>4.7275970481425789E-2</v>
      </c>
      <c r="C802" s="52">
        <v>0.27424622581655783</v>
      </c>
      <c r="D802" s="52">
        <v>0.51376076238640267</v>
      </c>
      <c r="E802" s="52">
        <v>0.20771588033644525</v>
      </c>
      <c r="F802" s="52">
        <v>8.1870787082442428E-2</v>
      </c>
      <c r="G802" s="52">
        <v>5.5457778846001365E-2</v>
      </c>
      <c r="H802" s="52">
        <v>0.11421991816334046</v>
      </c>
      <c r="I802" s="119">
        <v>557.51014242270344</v>
      </c>
    </row>
    <row r="803" spans="1:9" x14ac:dyDescent="0.3">
      <c r="A803" s="23">
        <v>785</v>
      </c>
      <c r="B803" s="52">
        <v>4.2731483429538038E-2</v>
      </c>
      <c r="C803" s="52">
        <v>0.28169345289397418</v>
      </c>
      <c r="D803" s="52">
        <v>0.53523426492247617</v>
      </c>
      <c r="E803" s="52">
        <v>0.19654775026250593</v>
      </c>
      <c r="F803" s="52">
        <v>9.681253016882338E-2</v>
      </c>
      <c r="G803" s="52">
        <v>4.7062971259096559E-2</v>
      </c>
      <c r="H803" s="52">
        <v>8.2466231150787203E-2</v>
      </c>
      <c r="I803" s="119">
        <v>205.49489788550218</v>
      </c>
    </row>
    <row r="804" spans="1:9" x14ac:dyDescent="0.3">
      <c r="A804" s="23">
        <v>786</v>
      </c>
      <c r="B804" s="52">
        <v>6.0762429969674396E-2</v>
      </c>
      <c r="C804" s="52">
        <v>0.27418165768661384</v>
      </c>
      <c r="D804" s="52">
        <v>0.4332663873623106</v>
      </c>
      <c r="E804" s="52">
        <v>0.17640616979483179</v>
      </c>
      <c r="F804" s="52">
        <v>9.5345224615042357E-2</v>
      </c>
      <c r="G804" s="52">
        <v>5.7341494502369916E-2</v>
      </c>
      <c r="H804" s="52">
        <v>9.0011847139076978E-2</v>
      </c>
      <c r="I804" s="119">
        <v>335.07879538663053</v>
      </c>
    </row>
    <row r="805" spans="1:9" x14ac:dyDescent="0.3">
      <c r="A805" s="23">
        <v>787</v>
      </c>
      <c r="B805" s="52">
        <v>5.539155196909501E-2</v>
      </c>
      <c r="C805" s="52">
        <v>0.29835288007713007</v>
      </c>
      <c r="D805" s="52">
        <v>0.65766295807275266</v>
      </c>
      <c r="E805" s="52">
        <v>0.19348473454994802</v>
      </c>
      <c r="F805" s="52">
        <v>9.525267825228631E-2</v>
      </c>
      <c r="G805" s="52">
        <v>6.0036902457365614E-2</v>
      </c>
      <c r="H805" s="52">
        <v>9.8202137896926431E-2</v>
      </c>
      <c r="I805" s="119">
        <v>468.67124117384208</v>
      </c>
    </row>
    <row r="806" spans="1:9" x14ac:dyDescent="0.3">
      <c r="A806" s="23">
        <v>788</v>
      </c>
      <c r="B806" s="52">
        <v>6.4204153472238151E-2</v>
      </c>
      <c r="C806" s="52">
        <v>0.26869108503622163</v>
      </c>
      <c r="D806" s="52">
        <v>0.5147511243491496</v>
      </c>
      <c r="E806" s="52">
        <v>0.19223399636764671</v>
      </c>
      <c r="F806" s="52">
        <v>9.1511729766934419E-2</v>
      </c>
      <c r="G806" s="52">
        <v>7.4373309788091091E-2</v>
      </c>
      <c r="H806" s="52">
        <v>0.1105531900715007</v>
      </c>
      <c r="I806" s="119">
        <v>942.73578634303215</v>
      </c>
    </row>
    <row r="807" spans="1:9" x14ac:dyDescent="0.3">
      <c r="A807" s="23">
        <v>789</v>
      </c>
      <c r="B807" s="52">
        <v>5.8979575001318063E-2</v>
      </c>
      <c r="C807" s="52">
        <v>0.29870328697892068</v>
      </c>
      <c r="D807" s="52">
        <v>0.65620044212780371</v>
      </c>
      <c r="E807" s="52">
        <v>0.18056051649632091</v>
      </c>
      <c r="F807" s="52">
        <v>0.10249437055175135</v>
      </c>
      <c r="G807" s="52">
        <v>4.7701230500586111E-2</v>
      </c>
      <c r="H807" s="52">
        <v>0.1073497004474257</v>
      </c>
      <c r="I807" s="119">
        <v>237.8863709008269</v>
      </c>
    </row>
    <row r="808" spans="1:9" x14ac:dyDescent="0.3">
      <c r="A808" s="23">
        <v>790</v>
      </c>
      <c r="B808" s="52">
        <v>5.6720871998585498E-2</v>
      </c>
      <c r="C808" s="52">
        <v>0.30260121336769991</v>
      </c>
      <c r="D808" s="52">
        <v>0.54105403561782839</v>
      </c>
      <c r="E808" s="52">
        <v>0.18547328641231062</v>
      </c>
      <c r="F808" s="52">
        <v>0.1021824830157511</v>
      </c>
      <c r="G808" s="52">
        <v>4.0528699793252985E-2</v>
      </c>
      <c r="H808" s="52">
        <v>0.10587532127923946</v>
      </c>
      <c r="I808" s="119">
        <v>200.27269189785875</v>
      </c>
    </row>
    <row r="809" spans="1:9" x14ac:dyDescent="0.3">
      <c r="A809" s="23">
        <v>791</v>
      </c>
      <c r="B809" s="52">
        <v>4.5517644236474135E-2</v>
      </c>
      <c r="C809" s="52">
        <v>0.29216522849466692</v>
      </c>
      <c r="D809" s="52">
        <v>0.42445398125631917</v>
      </c>
      <c r="E809" s="52">
        <v>0.20746573356563539</v>
      </c>
      <c r="F809" s="52">
        <v>0.10063039191512849</v>
      </c>
      <c r="G809" s="52">
        <v>5.649003925452839E-2</v>
      </c>
      <c r="H809" s="52">
        <v>0.10465567423167838</v>
      </c>
      <c r="I809" s="119">
        <v>287.74835523648329</v>
      </c>
    </row>
    <row r="810" spans="1:9" x14ac:dyDescent="0.3">
      <c r="A810" s="23">
        <v>792</v>
      </c>
      <c r="B810" s="52">
        <v>6.8510835797400887E-2</v>
      </c>
      <c r="C810" s="52">
        <v>0.27827744521667191</v>
      </c>
      <c r="D810" s="52">
        <v>0.62665868431636529</v>
      </c>
      <c r="E810" s="52">
        <v>0.18238986837353785</v>
      </c>
      <c r="F810" s="52">
        <v>0.10432483168572947</v>
      </c>
      <c r="G810" s="52">
        <v>5.5888573149167932E-2</v>
      </c>
      <c r="H810" s="52">
        <v>9.7561850109562753E-2</v>
      </c>
      <c r="I810" s="119">
        <v>237.35310497698322</v>
      </c>
    </row>
    <row r="811" spans="1:9" x14ac:dyDescent="0.3">
      <c r="A811" s="23">
        <v>793</v>
      </c>
      <c r="B811" s="52">
        <v>7.1286992562150861E-2</v>
      </c>
      <c r="C811" s="52">
        <v>0.29294257793202405</v>
      </c>
      <c r="D811" s="52">
        <v>0.5861221639150298</v>
      </c>
      <c r="E811" s="52">
        <v>0.21329906690407763</v>
      </c>
      <c r="F811" s="52">
        <v>9.2837849137844472E-2</v>
      </c>
      <c r="G811" s="52">
        <v>6.3408635670582469E-2</v>
      </c>
      <c r="H811" s="52">
        <v>0.11725865011130315</v>
      </c>
      <c r="I811" s="119">
        <v>624.06712840903685</v>
      </c>
    </row>
    <row r="812" spans="1:9" x14ac:dyDescent="0.3">
      <c r="A812" s="23">
        <v>794</v>
      </c>
      <c r="B812" s="52">
        <v>6.2390832218256378E-2</v>
      </c>
      <c r="C812" s="52">
        <v>0.27818200926226389</v>
      </c>
      <c r="D812" s="52">
        <v>0.62612480524713865</v>
      </c>
      <c r="E812" s="52">
        <v>0.18459796158577677</v>
      </c>
      <c r="F812" s="52">
        <v>8.1814526385273229E-2</v>
      </c>
      <c r="G812" s="52">
        <v>5.5664660635277301E-2</v>
      </c>
      <c r="H812" s="52">
        <v>0.10055112035172935</v>
      </c>
      <c r="I812" s="119">
        <v>637.3046782051066</v>
      </c>
    </row>
    <row r="813" spans="1:9" x14ac:dyDescent="0.3">
      <c r="A813" s="23">
        <v>795</v>
      </c>
      <c r="B813" s="52">
        <v>6.2424169935099902E-2</v>
      </c>
      <c r="C813" s="52">
        <v>0.31777165907996646</v>
      </c>
      <c r="D813" s="52">
        <v>0.53953151319301762</v>
      </c>
      <c r="E813" s="52">
        <v>0.15680638536312921</v>
      </c>
      <c r="F813" s="52">
        <v>9.1529565269207164E-2</v>
      </c>
      <c r="G813" s="52">
        <v>4.4513594658585731E-2</v>
      </c>
      <c r="H813" s="52">
        <v>0.11065285063647887</v>
      </c>
      <c r="I813" s="119">
        <v>401.00067184976245</v>
      </c>
    </row>
    <row r="814" spans="1:9" x14ac:dyDescent="0.3">
      <c r="A814" s="23">
        <v>796</v>
      </c>
      <c r="B814" s="52">
        <v>6.8358270662630477E-2</v>
      </c>
      <c r="C814" s="52">
        <v>0.28994560995245638</v>
      </c>
      <c r="D814" s="52">
        <v>0.61395691052955614</v>
      </c>
      <c r="E814" s="52">
        <v>0.17706473211439905</v>
      </c>
      <c r="F814" s="52">
        <v>7.7358274432450691E-2</v>
      </c>
      <c r="G814" s="52">
        <v>5.25422539181516E-2</v>
      </c>
      <c r="H814" s="52">
        <v>0.10305947066314333</v>
      </c>
      <c r="I814" s="119">
        <v>796.58117414262131</v>
      </c>
    </row>
    <row r="815" spans="1:9" x14ac:dyDescent="0.3">
      <c r="A815" s="23">
        <v>797</v>
      </c>
      <c r="B815" s="52">
        <v>6.6190283641533454E-2</v>
      </c>
      <c r="C815" s="52">
        <v>0.26520332521958817</v>
      </c>
      <c r="D815" s="52">
        <v>0.60354668421753788</v>
      </c>
      <c r="E815" s="52">
        <v>0.20598893257574102</v>
      </c>
      <c r="F815" s="52">
        <v>8.0680109559689892E-2</v>
      </c>
      <c r="G815" s="52">
        <v>4.8760093832929209E-2</v>
      </c>
      <c r="H815" s="52">
        <v>0.11857431925644536</v>
      </c>
      <c r="I815" s="119">
        <v>436.63288530772087</v>
      </c>
    </row>
    <row r="816" spans="1:9" x14ac:dyDescent="0.3">
      <c r="A816" s="23">
        <v>798</v>
      </c>
      <c r="B816" s="52">
        <v>6.3987846611632135E-2</v>
      </c>
      <c r="C816" s="52">
        <v>0.30913846477960516</v>
      </c>
      <c r="D816" s="52">
        <v>0.48933630658721661</v>
      </c>
      <c r="E816" s="52">
        <v>0.20196322380972639</v>
      </c>
      <c r="F816" s="52">
        <v>8.4785366237217288E-2</v>
      </c>
      <c r="G816" s="52">
        <v>5.4008573956041882E-2</v>
      </c>
      <c r="H816" s="52">
        <v>0.10214660941041451</v>
      </c>
      <c r="I816" s="119">
        <v>675.77689017528542</v>
      </c>
    </row>
    <row r="817" spans="1:9" x14ac:dyDescent="0.3">
      <c r="A817" s="23">
        <v>799</v>
      </c>
      <c r="B817" s="52">
        <v>5.6806403276153015E-2</v>
      </c>
      <c r="C817" s="52">
        <v>0.29053710363893426</v>
      </c>
      <c r="D817" s="52">
        <v>0.52952413674691001</v>
      </c>
      <c r="E817" s="52">
        <v>0.20488266099233837</v>
      </c>
      <c r="F817" s="52">
        <v>9.8007915012404551E-2</v>
      </c>
      <c r="G817" s="52">
        <v>4.0898304063278074E-2</v>
      </c>
      <c r="H817" s="52">
        <v>0.12208638162132122</v>
      </c>
      <c r="I817" s="119">
        <v>201.44742229213674</v>
      </c>
    </row>
    <row r="818" spans="1:9" x14ac:dyDescent="0.3">
      <c r="A818" s="23">
        <v>800</v>
      </c>
      <c r="B818" s="52">
        <v>6.7474963892494799E-2</v>
      </c>
      <c r="C818" s="52">
        <v>0.30337108688034503</v>
      </c>
      <c r="D818" s="52">
        <v>0.51362160574882476</v>
      </c>
      <c r="E818" s="52">
        <v>0.20306335713479903</v>
      </c>
      <c r="F818" s="52">
        <v>8.9031324372966472E-2</v>
      </c>
      <c r="G818" s="52">
        <v>3.7979846020270491E-2</v>
      </c>
      <c r="H818" s="52">
        <v>0.12393239994350352</v>
      </c>
      <c r="I818" s="119">
        <v>325.19741460948165</v>
      </c>
    </row>
    <row r="819" spans="1:9" x14ac:dyDescent="0.3">
      <c r="A819" s="23">
        <v>801</v>
      </c>
      <c r="B819" s="52">
        <v>5.3822569022415945E-2</v>
      </c>
      <c r="C819" s="52">
        <v>0.27420556982771588</v>
      </c>
      <c r="D819" s="52">
        <v>0.41867016388523826</v>
      </c>
      <c r="E819" s="52">
        <v>0.20235543605157916</v>
      </c>
      <c r="F819" s="52">
        <v>0.10470261413947364</v>
      </c>
      <c r="G819" s="52">
        <v>4.6684940921926626E-2</v>
      </c>
      <c r="H819" s="52">
        <v>0.11626573009037228</v>
      </c>
      <c r="I819" s="119">
        <v>136.08038865083731</v>
      </c>
    </row>
    <row r="820" spans="1:9" x14ac:dyDescent="0.3">
      <c r="A820" s="23">
        <v>802</v>
      </c>
      <c r="B820" s="52">
        <v>6.7597074919716255E-2</v>
      </c>
      <c r="C820" s="52">
        <v>0.28832243524748435</v>
      </c>
      <c r="D820" s="52">
        <v>0.42941525223637439</v>
      </c>
      <c r="E820" s="52">
        <v>0.18742180575330175</v>
      </c>
      <c r="F820" s="52">
        <v>9.9423951638232852E-2</v>
      </c>
      <c r="G820" s="52">
        <v>4.0776091627577525E-2</v>
      </c>
      <c r="H820" s="52">
        <v>0.10895092916027754</v>
      </c>
      <c r="I820" s="119">
        <v>200.64616676204915</v>
      </c>
    </row>
    <row r="821" spans="1:9" x14ac:dyDescent="0.3">
      <c r="A821" s="23">
        <v>803</v>
      </c>
      <c r="B821" s="52">
        <v>8.5876430975750817E-2</v>
      </c>
      <c r="C821" s="52">
        <v>0.28676817644579494</v>
      </c>
      <c r="D821" s="52">
        <v>0.51816944792144115</v>
      </c>
      <c r="E821" s="52">
        <v>0.19904801189068144</v>
      </c>
      <c r="F821" s="52">
        <v>0.10294284846202671</v>
      </c>
      <c r="G821" s="52">
        <v>6.3730212557102012E-2</v>
      </c>
      <c r="H821" s="52">
        <v>0.10172738533622598</v>
      </c>
      <c r="I821" s="119">
        <v>413.09644137609354</v>
      </c>
    </row>
    <row r="822" spans="1:9" x14ac:dyDescent="0.3">
      <c r="A822" s="23">
        <v>804</v>
      </c>
      <c r="B822" s="52">
        <v>6.8022087812644835E-2</v>
      </c>
      <c r="C822" s="52">
        <v>0.27334969450487645</v>
      </c>
      <c r="D822" s="52">
        <v>0.51327079207747028</v>
      </c>
      <c r="E822" s="52">
        <v>0.1887254180631357</v>
      </c>
      <c r="F822" s="52">
        <v>0.10469449367278433</v>
      </c>
      <c r="G822" s="52">
        <v>5.604184782878692E-2</v>
      </c>
      <c r="H822" s="52">
        <v>8.2798877323802991E-2</v>
      </c>
      <c r="I822" s="119">
        <v>217.41974529961695</v>
      </c>
    </row>
    <row r="823" spans="1:9" x14ac:dyDescent="0.3">
      <c r="A823" s="23">
        <v>805</v>
      </c>
      <c r="B823" s="52">
        <v>6.2220676965012212E-2</v>
      </c>
      <c r="C823" s="52">
        <v>0.29279596212985115</v>
      </c>
      <c r="D823" s="52">
        <v>0.43606129655599307</v>
      </c>
      <c r="E823" s="52">
        <v>0.18006908803137445</v>
      </c>
      <c r="F823" s="52">
        <v>8.3144412239761725E-2</v>
      </c>
      <c r="G823" s="52">
        <v>4.0437890537415574E-2</v>
      </c>
      <c r="H823" s="52">
        <v>9.8585569949262972E-2</v>
      </c>
      <c r="I823" s="119">
        <v>378.38299517965356</v>
      </c>
    </row>
    <row r="824" spans="1:9" x14ac:dyDescent="0.3">
      <c r="A824" s="23">
        <v>806</v>
      </c>
      <c r="B824" s="52">
        <v>6.69439232110072E-2</v>
      </c>
      <c r="C824" s="52">
        <v>0.3022416563543498</v>
      </c>
      <c r="D824" s="52">
        <v>0.72513275312942849</v>
      </c>
      <c r="E824" s="52">
        <v>0.19861511737041881</v>
      </c>
      <c r="F824" s="52">
        <v>9.5908638267863083E-2</v>
      </c>
      <c r="G824" s="52">
        <v>4.8651574290086083E-2</v>
      </c>
      <c r="H824" s="52">
        <v>9.065223491373571E-2</v>
      </c>
      <c r="I824" s="119">
        <v>344.37484540521808</v>
      </c>
    </row>
    <row r="825" spans="1:9" x14ac:dyDescent="0.3">
      <c r="A825" s="23">
        <v>807</v>
      </c>
      <c r="B825" s="52">
        <v>5.776651264590392E-2</v>
      </c>
      <c r="C825" s="52">
        <v>0.28679197596904571</v>
      </c>
      <c r="D825" s="52">
        <v>0.69708991457971003</v>
      </c>
      <c r="E825" s="52">
        <v>0.20364794312455925</v>
      </c>
      <c r="F825" s="52">
        <v>8.5711470345877311E-2</v>
      </c>
      <c r="G825" s="52">
        <v>6.145029654927444E-2</v>
      </c>
      <c r="H825" s="52">
        <v>0.11064918183135863</v>
      </c>
      <c r="I825" s="119">
        <v>725.45795554437996</v>
      </c>
    </row>
    <row r="826" spans="1:9" x14ac:dyDescent="0.3">
      <c r="A826" s="23">
        <v>808</v>
      </c>
      <c r="B826" s="52">
        <v>6.6514823852435456E-2</v>
      </c>
      <c r="C826" s="52">
        <v>0.2896416111982541</v>
      </c>
      <c r="D826" s="52">
        <v>0.47554762723778837</v>
      </c>
      <c r="E826" s="52">
        <v>0.17753416309768602</v>
      </c>
      <c r="F826" s="52">
        <v>9.5491533512142984E-2</v>
      </c>
      <c r="G826" s="52">
        <v>5.4949708516354792E-2</v>
      </c>
      <c r="H826" s="52">
        <v>9.9952359860387252E-2</v>
      </c>
      <c r="I826" s="119">
        <v>376.99598411590648</v>
      </c>
    </row>
    <row r="827" spans="1:9" x14ac:dyDescent="0.3">
      <c r="A827" s="23">
        <v>809</v>
      </c>
      <c r="B827" s="52">
        <v>5.0930837092139199E-2</v>
      </c>
      <c r="C827" s="52">
        <v>0.29716930287390436</v>
      </c>
      <c r="D827" s="52">
        <v>0.50709651918029908</v>
      </c>
      <c r="E827" s="52">
        <v>0.17928900661671718</v>
      </c>
      <c r="F827" s="52">
        <v>9.6597114491463659E-2</v>
      </c>
      <c r="G827" s="52">
        <v>4.7542398853390268E-2</v>
      </c>
      <c r="H827" s="52">
        <v>0.11399517335938419</v>
      </c>
      <c r="I827" s="119">
        <v>274.89297879437351</v>
      </c>
    </row>
    <row r="828" spans="1:9" x14ac:dyDescent="0.3">
      <c r="A828" s="23">
        <v>810</v>
      </c>
      <c r="B828" s="52">
        <v>5.9946991952548614E-2</v>
      </c>
      <c r="C828" s="52">
        <v>0.2931558689621831</v>
      </c>
      <c r="D828" s="52">
        <v>0.75660973563216793</v>
      </c>
      <c r="E828" s="52">
        <v>0.18913201306978461</v>
      </c>
      <c r="F828" s="52">
        <v>0.10260631162972142</v>
      </c>
      <c r="G828" s="52">
        <v>5.5005446715777034E-2</v>
      </c>
      <c r="H828" s="52">
        <v>9.7612575909596183E-2</v>
      </c>
      <c r="I828" s="119">
        <v>282.01216702051659</v>
      </c>
    </row>
    <row r="829" spans="1:9" x14ac:dyDescent="0.3">
      <c r="A829" s="23">
        <v>811</v>
      </c>
      <c r="B829" s="52">
        <v>5.1902955628858646E-2</v>
      </c>
      <c r="C829" s="52">
        <v>0.29024884878715546</v>
      </c>
      <c r="D829" s="52">
        <v>0.64236020733201171</v>
      </c>
      <c r="E829" s="52">
        <v>0.17679602987688872</v>
      </c>
      <c r="F829" s="52">
        <v>0.10418250885693152</v>
      </c>
      <c r="G829" s="52">
        <v>5.8943324080347352E-2</v>
      </c>
      <c r="H829" s="52">
        <v>0.11521935138481933</v>
      </c>
      <c r="I829" s="119">
        <v>276.4238375987814</v>
      </c>
    </row>
    <row r="830" spans="1:9" x14ac:dyDescent="0.3">
      <c r="A830" s="23">
        <v>812</v>
      </c>
      <c r="B830" s="52">
        <v>6.3662129913908405E-2</v>
      </c>
      <c r="C830" s="52">
        <v>0.2949322080961656</v>
      </c>
      <c r="D830" s="52">
        <v>0.52645975462766847</v>
      </c>
      <c r="E830" s="52">
        <v>0.1940585521038008</v>
      </c>
      <c r="F830" s="52">
        <v>9.773977251074091E-2</v>
      </c>
      <c r="G830" s="52">
        <v>3.2555086472423105E-2</v>
      </c>
      <c r="H830" s="52">
        <v>0.10554864331802796</v>
      </c>
      <c r="I830" s="119">
        <v>177.78719608215798</v>
      </c>
    </row>
    <row r="831" spans="1:9" x14ac:dyDescent="0.3">
      <c r="A831" s="23">
        <v>813</v>
      </c>
      <c r="B831" s="52">
        <v>5.9924472243520127E-2</v>
      </c>
      <c r="C831" s="52">
        <v>0.29278639064345413</v>
      </c>
      <c r="D831" s="52">
        <v>0.56516344191264134</v>
      </c>
      <c r="E831" s="52">
        <v>0.1705373913833817</v>
      </c>
      <c r="F831" s="52">
        <v>7.9564263714884592E-2</v>
      </c>
      <c r="G831" s="52">
        <v>5.644868458206044E-2</v>
      </c>
      <c r="H831" s="52">
        <v>0.11817863041053864</v>
      </c>
      <c r="I831" s="119">
        <v>842.33097754536175</v>
      </c>
    </row>
    <row r="832" spans="1:9" x14ac:dyDescent="0.3">
      <c r="A832" s="23">
        <v>814</v>
      </c>
      <c r="B832" s="52">
        <v>7.8631265737811512E-2</v>
      </c>
      <c r="C832" s="52">
        <v>0.28700810003103905</v>
      </c>
      <c r="D832" s="52">
        <v>0.54317111945121221</v>
      </c>
      <c r="E832" s="52">
        <v>0.2022683029404371</v>
      </c>
      <c r="F832" s="52">
        <v>0.10303967865395015</v>
      </c>
      <c r="G832" s="52">
        <v>5.1678828619090136E-2</v>
      </c>
      <c r="H832" s="52">
        <v>9.056755234775335E-2</v>
      </c>
      <c r="I832" s="119">
        <v>262.75898868514008</v>
      </c>
    </row>
    <row r="833" spans="1:9" x14ac:dyDescent="0.3">
      <c r="A833" s="23">
        <v>815</v>
      </c>
      <c r="B833" s="52">
        <v>6.2779572073585796E-2</v>
      </c>
      <c r="C833" s="52">
        <v>0.25039219973042559</v>
      </c>
      <c r="D833" s="52">
        <v>0.58026970828631674</v>
      </c>
      <c r="E833" s="52">
        <v>0.19143913797865536</v>
      </c>
      <c r="F833" s="52">
        <v>0.10288301692204374</v>
      </c>
      <c r="G833" s="52">
        <v>6.1696724875393835E-2</v>
      </c>
      <c r="H833" s="52">
        <v>0.11308200363525003</v>
      </c>
      <c r="I833" s="119">
        <v>194.43462407219778</v>
      </c>
    </row>
    <row r="834" spans="1:9" x14ac:dyDescent="0.3">
      <c r="A834" s="23">
        <v>816</v>
      </c>
      <c r="B834" s="52">
        <v>7.1084326714599355E-2</v>
      </c>
      <c r="C834" s="52">
        <v>0.28095141024824016</v>
      </c>
      <c r="D834" s="52">
        <v>0.43848032327591485</v>
      </c>
      <c r="E834" s="52">
        <v>0.21732268400946203</v>
      </c>
      <c r="F834" s="52">
        <v>0.10079924358509995</v>
      </c>
      <c r="G834" s="52">
        <v>4.3013642483870039E-2</v>
      </c>
      <c r="H834" s="52">
        <v>9.9996940287097755E-2</v>
      </c>
      <c r="I834" s="119">
        <v>187.62917592871702</v>
      </c>
    </row>
    <row r="835" spans="1:9" x14ac:dyDescent="0.3">
      <c r="A835" s="23">
        <v>817</v>
      </c>
      <c r="B835" s="52">
        <v>6.6083296447199097E-2</v>
      </c>
      <c r="C835" s="52">
        <v>0.29740618928203227</v>
      </c>
      <c r="D835" s="52">
        <v>0.58001263424835903</v>
      </c>
      <c r="E835" s="52">
        <v>0.20783443895830792</v>
      </c>
      <c r="F835" s="52">
        <v>0.10241938337873323</v>
      </c>
      <c r="G835" s="52">
        <v>4.675761632870825E-2</v>
      </c>
      <c r="H835" s="52">
        <v>0.10020889065806701</v>
      </c>
      <c r="I835" s="119">
        <v>240.54179353075398</v>
      </c>
    </row>
    <row r="836" spans="1:9" x14ac:dyDescent="0.3">
      <c r="A836" s="23">
        <v>818</v>
      </c>
      <c r="B836" s="52">
        <v>4.4708087295719533E-2</v>
      </c>
      <c r="C836" s="52">
        <v>0.28528381950132353</v>
      </c>
      <c r="D836" s="52">
        <v>0.63604772622681038</v>
      </c>
      <c r="E836" s="52">
        <v>0.20800887783014879</v>
      </c>
      <c r="F836" s="52">
        <v>0.10251467472544558</v>
      </c>
      <c r="G836" s="52">
        <v>3.953870800977962E-2</v>
      </c>
      <c r="H836" s="52">
        <v>8.9868560148925039E-2</v>
      </c>
      <c r="I836" s="119">
        <v>129.93127076158243</v>
      </c>
    </row>
    <row r="837" spans="1:9" x14ac:dyDescent="0.3">
      <c r="A837" s="23">
        <v>819</v>
      </c>
      <c r="B837" s="52">
        <v>5.224079792157181E-2</v>
      </c>
      <c r="C837" s="52">
        <v>0.26737113051004574</v>
      </c>
      <c r="D837" s="52">
        <v>0.46961648521403049</v>
      </c>
      <c r="E837" s="52">
        <v>0.17453976086133802</v>
      </c>
      <c r="F837" s="52">
        <v>0.10414926100076824</v>
      </c>
      <c r="G837" s="52">
        <v>5.0208124710856721E-2</v>
      </c>
      <c r="H837" s="52">
        <v>0.10148371772781262</v>
      </c>
      <c r="I837" s="119">
        <v>138.5327005980258</v>
      </c>
    </row>
    <row r="838" spans="1:9" x14ac:dyDescent="0.3">
      <c r="A838" s="23">
        <v>820</v>
      </c>
      <c r="B838" s="52">
        <v>6.4328937256422691E-2</v>
      </c>
      <c r="C838" s="52">
        <v>0.28776188999022345</v>
      </c>
      <c r="D838" s="52">
        <v>0.48782242903230266</v>
      </c>
      <c r="E838" s="52">
        <v>0.18541911923472199</v>
      </c>
      <c r="F838" s="52">
        <v>0.10078250477608837</v>
      </c>
      <c r="G838" s="52">
        <v>5.0939503247667661E-2</v>
      </c>
      <c r="H838" s="52">
        <v>0.1099622459249579</v>
      </c>
      <c r="I838" s="119">
        <v>255.57616534264247</v>
      </c>
    </row>
    <row r="839" spans="1:9" x14ac:dyDescent="0.3">
      <c r="A839" s="23">
        <v>821</v>
      </c>
      <c r="B839" s="52">
        <v>6.0764837724847073E-2</v>
      </c>
      <c r="C839" s="52">
        <v>0.30325811029980826</v>
      </c>
      <c r="D839" s="52">
        <v>0.75103000323327129</v>
      </c>
      <c r="E839" s="52">
        <v>0.16810494667127418</v>
      </c>
      <c r="F839" s="52">
        <v>0.10457248402869104</v>
      </c>
      <c r="G839" s="52">
        <v>3.9718666059689128E-2</v>
      </c>
      <c r="H839" s="52">
        <v>0.11102282458462451</v>
      </c>
      <c r="I839" s="119">
        <v>186.92952336909565</v>
      </c>
    </row>
    <row r="840" spans="1:9" x14ac:dyDescent="0.3">
      <c r="A840" s="23">
        <v>822</v>
      </c>
      <c r="B840" s="52">
        <v>6.4458349690348526E-2</v>
      </c>
      <c r="C840" s="52">
        <v>0.28922249942785239</v>
      </c>
      <c r="D840" s="52">
        <v>0.66417378458021892</v>
      </c>
      <c r="E840" s="52">
        <v>0.18182848788683595</v>
      </c>
      <c r="F840" s="52">
        <v>8.9470224636512621E-2</v>
      </c>
      <c r="G840" s="52">
        <v>3.6916903181152871E-2</v>
      </c>
      <c r="H840" s="52">
        <v>0.11371314288813536</v>
      </c>
      <c r="I840" s="119">
        <v>257.85038551874749</v>
      </c>
    </row>
    <row r="841" spans="1:9" x14ac:dyDescent="0.3">
      <c r="A841" s="23">
        <v>823</v>
      </c>
      <c r="B841" s="52">
        <v>6.0558016041511412E-2</v>
      </c>
      <c r="C841" s="52">
        <v>0.26621482082541514</v>
      </c>
      <c r="D841" s="52">
        <v>0.54877130253690798</v>
      </c>
      <c r="E841" s="52">
        <v>0.1918646893991065</v>
      </c>
      <c r="F841" s="52">
        <v>9.6300629415215902E-2</v>
      </c>
      <c r="G841" s="52">
        <v>3.4115791639525384E-2</v>
      </c>
      <c r="H841" s="52">
        <v>0.10049407769988147</v>
      </c>
      <c r="I841" s="119">
        <v>112.58811617504368</v>
      </c>
    </row>
    <row r="842" spans="1:9" x14ac:dyDescent="0.3">
      <c r="A842" s="23">
        <v>824</v>
      </c>
      <c r="B842" s="52">
        <v>6.1319075926994052E-2</v>
      </c>
      <c r="C842" s="52">
        <v>0.29661530763034666</v>
      </c>
      <c r="D842" s="52">
        <v>0.67268064704277286</v>
      </c>
      <c r="E842" s="52">
        <v>0.19777275814124615</v>
      </c>
      <c r="F842" s="52">
        <v>9.2087317931905652E-2</v>
      </c>
      <c r="G842" s="52">
        <v>4.1949394850476544E-2</v>
      </c>
      <c r="H842" s="52">
        <v>0.1119287463076073</v>
      </c>
      <c r="I842" s="119">
        <v>292.21673434760464</v>
      </c>
    </row>
    <row r="843" spans="1:9" x14ac:dyDescent="0.3">
      <c r="A843" s="23">
        <v>825</v>
      </c>
      <c r="B843" s="52">
        <v>4.5598531473291806E-2</v>
      </c>
      <c r="C843" s="52">
        <v>0.30993164373362453</v>
      </c>
      <c r="D843" s="52">
        <v>0.48587404556176217</v>
      </c>
      <c r="E843" s="52">
        <v>0.18217871169790956</v>
      </c>
      <c r="F843" s="52">
        <v>0.1016346926008394</v>
      </c>
      <c r="G843" s="52">
        <v>5.9405460417941265E-2</v>
      </c>
      <c r="H843" s="52">
        <v>0.10827274230208095</v>
      </c>
      <c r="I843" s="119">
        <v>368.63790734670653</v>
      </c>
    </row>
    <row r="844" spans="1:9" x14ac:dyDescent="0.3">
      <c r="A844" s="23">
        <v>826</v>
      </c>
      <c r="B844" s="52">
        <v>7.1222963286845672E-2</v>
      </c>
      <c r="C844" s="52">
        <v>0.29673323460622969</v>
      </c>
      <c r="D844" s="52">
        <v>0.43175903705397017</v>
      </c>
      <c r="E844" s="52">
        <v>0.21166515242697631</v>
      </c>
      <c r="F844" s="52">
        <v>9.0074544776193671E-2</v>
      </c>
      <c r="G844" s="52">
        <v>4.7259074406127158E-2</v>
      </c>
      <c r="H844" s="52">
        <v>8.3091843048893735E-2</v>
      </c>
      <c r="I844" s="119">
        <v>398.63674105427555</v>
      </c>
    </row>
    <row r="845" spans="1:9" x14ac:dyDescent="0.3">
      <c r="A845" s="23">
        <v>827</v>
      </c>
      <c r="B845" s="52">
        <v>7.0083130993780343E-2</v>
      </c>
      <c r="C845" s="52">
        <v>0.30037853920558105</v>
      </c>
      <c r="D845" s="52">
        <v>0.44844203380755737</v>
      </c>
      <c r="E845" s="52">
        <v>0.2007677081198895</v>
      </c>
      <c r="F845" s="52">
        <v>7.9193828685037465E-2</v>
      </c>
      <c r="G845" s="52">
        <v>5.1897057040388245E-2</v>
      </c>
      <c r="H845" s="52">
        <v>0.11402388639001142</v>
      </c>
      <c r="I845" s="119">
        <v>773.70929061949403</v>
      </c>
    </row>
    <row r="846" spans="1:9" x14ac:dyDescent="0.3">
      <c r="A846" s="23">
        <v>828</v>
      </c>
      <c r="B846" s="52">
        <v>7.3049246210537017E-2</v>
      </c>
      <c r="C846" s="52">
        <v>0.27935375917841604</v>
      </c>
      <c r="D846" s="52">
        <v>0.52690968478391698</v>
      </c>
      <c r="E846" s="52">
        <v>0.17463957593982024</v>
      </c>
      <c r="F846" s="52">
        <v>0.10910428094976464</v>
      </c>
      <c r="G846" s="52">
        <v>4.2600091003886544E-2</v>
      </c>
      <c r="H846" s="52">
        <v>0.1169708216910261</v>
      </c>
      <c r="I846" s="119">
        <v>128.04634510642401</v>
      </c>
    </row>
    <row r="847" spans="1:9" x14ac:dyDescent="0.3">
      <c r="A847" s="23">
        <v>829</v>
      </c>
      <c r="B847" s="52">
        <v>4.2490782386202519E-2</v>
      </c>
      <c r="C847" s="52">
        <v>0.26482012913680286</v>
      </c>
      <c r="D847" s="52">
        <v>0.43936710233040244</v>
      </c>
      <c r="E847" s="52">
        <v>0.16367216468158477</v>
      </c>
      <c r="F847" s="52">
        <v>9.382424145115148E-2</v>
      </c>
      <c r="G847" s="52">
        <v>5.6491291606219782E-2</v>
      </c>
      <c r="H847" s="52">
        <v>0.11539154454522234</v>
      </c>
      <c r="I847" s="119">
        <v>271.47030249296824</v>
      </c>
    </row>
    <row r="848" spans="1:9" x14ac:dyDescent="0.3">
      <c r="A848" s="23">
        <v>830</v>
      </c>
      <c r="B848" s="52">
        <v>5.4570468107578964E-2</v>
      </c>
      <c r="C848" s="52">
        <v>0.28510298542296519</v>
      </c>
      <c r="D848" s="52">
        <v>0.47315013035421061</v>
      </c>
      <c r="E848" s="52">
        <v>0.16566642625025652</v>
      </c>
      <c r="F848" s="52">
        <v>9.6140927928901262E-2</v>
      </c>
      <c r="G848" s="52">
        <v>5.7535727919097432E-2</v>
      </c>
      <c r="H848" s="52">
        <v>0.10333412567272146</v>
      </c>
      <c r="I848" s="119">
        <v>356.09199449890832</v>
      </c>
    </row>
    <row r="849" spans="1:9" x14ac:dyDescent="0.3">
      <c r="A849" s="23">
        <v>831</v>
      </c>
      <c r="B849" s="52">
        <v>6.4989323726010365E-2</v>
      </c>
      <c r="C849" s="52">
        <v>0.28335282669533224</v>
      </c>
      <c r="D849" s="52">
        <v>0.74878566745229991</v>
      </c>
      <c r="E849" s="52">
        <v>0.18739800834057924</v>
      </c>
      <c r="F849" s="52">
        <v>0.10337305930332918</v>
      </c>
      <c r="G849" s="52">
        <v>5.7449874021328909E-2</v>
      </c>
      <c r="H849" s="52">
        <v>9.3886382139802937E-2</v>
      </c>
      <c r="I849" s="119">
        <v>272.91464055765141</v>
      </c>
    </row>
    <row r="850" spans="1:9" x14ac:dyDescent="0.3">
      <c r="A850" s="23">
        <v>832</v>
      </c>
      <c r="B850" s="52">
        <v>6.6463913567200078E-2</v>
      </c>
      <c r="C850" s="52">
        <v>0.29024901314640561</v>
      </c>
      <c r="D850" s="52">
        <v>0.50559964928908763</v>
      </c>
      <c r="E850" s="52">
        <v>0.19672655586243554</v>
      </c>
      <c r="F850" s="52">
        <v>0.10099136907830231</v>
      </c>
      <c r="G850" s="52">
        <v>5.473666673978167E-2</v>
      </c>
      <c r="H850" s="52">
        <v>0.1049275644712899</v>
      </c>
      <c r="I850" s="119">
        <v>301.25723744863842</v>
      </c>
    </row>
    <row r="851" spans="1:9" x14ac:dyDescent="0.3">
      <c r="A851" s="23">
        <v>833</v>
      </c>
      <c r="B851" s="52">
        <v>5.9776470101087692E-2</v>
      </c>
      <c r="C851" s="52">
        <v>0.29305842610663607</v>
      </c>
      <c r="D851" s="52">
        <v>0.47125198561041476</v>
      </c>
      <c r="E851" s="52">
        <v>0.1862445254249894</v>
      </c>
      <c r="F851" s="52">
        <v>9.2304244235724489E-2</v>
      </c>
      <c r="G851" s="52">
        <v>5.9013786710041094E-2</v>
      </c>
      <c r="H851" s="52">
        <v>0.1050536302301821</v>
      </c>
      <c r="I851" s="119">
        <v>501.13204755064379</v>
      </c>
    </row>
    <row r="852" spans="1:9" x14ac:dyDescent="0.3">
      <c r="A852" s="23">
        <v>834</v>
      </c>
      <c r="B852" s="52">
        <v>6.0303601512992341E-2</v>
      </c>
      <c r="C852" s="52">
        <v>0.28598532899859974</v>
      </c>
      <c r="D852" s="52">
        <v>0.49812505636315263</v>
      </c>
      <c r="E852" s="52">
        <v>0.1870867514779721</v>
      </c>
      <c r="F852" s="52">
        <v>0.1045237593838009</v>
      </c>
      <c r="G852" s="52">
        <v>7.464358311887663E-2</v>
      </c>
      <c r="H852" s="52">
        <v>9.6598292006077738E-2</v>
      </c>
      <c r="I852" s="119">
        <v>508.92260251007644</v>
      </c>
    </row>
    <row r="853" spans="1:9" x14ac:dyDescent="0.3">
      <c r="A853" s="23">
        <v>835</v>
      </c>
      <c r="B853" s="52">
        <v>5.8710672366192762E-2</v>
      </c>
      <c r="C853" s="52">
        <v>0.26745925247129215</v>
      </c>
      <c r="D853" s="52">
        <v>0.65209162323697778</v>
      </c>
      <c r="E853" s="52">
        <v>0.19146419971618858</v>
      </c>
      <c r="F853" s="52">
        <v>0.10165538813240955</v>
      </c>
      <c r="G853" s="52">
        <v>6.1821950761298941E-2</v>
      </c>
      <c r="H853" s="52">
        <v>9.8545218281140101E-2</v>
      </c>
      <c r="I853" s="119">
        <v>269.16983152931653</v>
      </c>
    </row>
    <row r="854" spans="1:9" x14ac:dyDescent="0.3">
      <c r="A854" s="23">
        <v>836</v>
      </c>
      <c r="B854" s="52">
        <v>5.6084988279221024E-2</v>
      </c>
      <c r="C854" s="52">
        <v>0.28905407252450382</v>
      </c>
      <c r="D854" s="52">
        <v>0.5622873912441283</v>
      </c>
      <c r="E854" s="52">
        <v>0.1920304546736446</v>
      </c>
      <c r="F854" s="52">
        <v>9.0222974191580499E-2</v>
      </c>
      <c r="G854" s="52">
        <v>6.4876514765029369E-2</v>
      </c>
      <c r="H854" s="52">
        <v>0.10878136900122051</v>
      </c>
      <c r="I854" s="119">
        <v>679.77409693566153</v>
      </c>
    </row>
    <row r="855" spans="1:9" x14ac:dyDescent="0.3">
      <c r="A855" s="23">
        <v>837</v>
      </c>
      <c r="B855" s="52">
        <v>5.6472609913458288E-2</v>
      </c>
      <c r="C855" s="52">
        <v>0.2649381428551375</v>
      </c>
      <c r="D855" s="52">
        <v>0.49964716117986607</v>
      </c>
      <c r="E855" s="52">
        <v>0.20370102787206554</v>
      </c>
      <c r="F855" s="52">
        <v>9.9229334416164855E-2</v>
      </c>
      <c r="G855" s="52">
        <v>5.7836399100755428E-2</v>
      </c>
      <c r="H855" s="52">
        <v>9.9861628653237125E-2</v>
      </c>
      <c r="I855" s="119">
        <v>242.85745250665326</v>
      </c>
    </row>
    <row r="856" spans="1:9" x14ac:dyDescent="0.3">
      <c r="A856" s="23">
        <v>838</v>
      </c>
      <c r="B856" s="52">
        <v>5.3147982103424106E-2</v>
      </c>
      <c r="C856" s="52">
        <v>0.29641242924083694</v>
      </c>
      <c r="D856" s="52">
        <v>0.53170097051356147</v>
      </c>
      <c r="E856" s="52">
        <v>0.19125230400825846</v>
      </c>
      <c r="F856" s="52">
        <v>0.1040302243101657</v>
      </c>
      <c r="G856" s="52">
        <v>4.5187945501647168E-2</v>
      </c>
      <c r="H856" s="52">
        <v>0.11174175802590819</v>
      </c>
      <c r="I856" s="119">
        <v>191.86382780304939</v>
      </c>
    </row>
    <row r="857" spans="1:9" x14ac:dyDescent="0.3">
      <c r="A857" s="23">
        <v>839</v>
      </c>
      <c r="B857" s="52">
        <v>6.5524313036897139E-2</v>
      </c>
      <c r="C857" s="52">
        <v>0.2776604491466475</v>
      </c>
      <c r="D857" s="52">
        <v>0.45031949597550924</v>
      </c>
      <c r="E857" s="52">
        <v>0.20545111905756314</v>
      </c>
      <c r="F857" s="52">
        <v>0.10069713406771164</v>
      </c>
      <c r="G857" s="52">
        <v>7.1266455759448552E-2</v>
      </c>
      <c r="H857" s="52">
        <v>0.11496609961419152</v>
      </c>
      <c r="I857" s="119">
        <v>501.67569481801132</v>
      </c>
    </row>
    <row r="858" spans="1:9" x14ac:dyDescent="0.3">
      <c r="A858" s="23">
        <v>840</v>
      </c>
      <c r="B858" s="52">
        <v>5.5782586326055421E-2</v>
      </c>
      <c r="C858" s="52">
        <v>0.29719650373402856</v>
      </c>
      <c r="D858" s="52">
        <v>0.61259010829106186</v>
      </c>
      <c r="E858" s="52">
        <v>0.19261502353364915</v>
      </c>
      <c r="F858" s="52">
        <v>9.6288866605649087E-2</v>
      </c>
      <c r="G858" s="52">
        <v>7.3358462983127454E-2</v>
      </c>
      <c r="H858" s="52">
        <v>0.10693913922345608</v>
      </c>
      <c r="I858" s="119">
        <v>798.22429331294518</v>
      </c>
    </row>
    <row r="859" spans="1:9" x14ac:dyDescent="0.3">
      <c r="A859" s="23">
        <v>841</v>
      </c>
      <c r="B859" s="52">
        <v>7.1008950283717315E-2</v>
      </c>
      <c r="C859" s="52">
        <v>0.2758479332905357</v>
      </c>
      <c r="D859" s="52">
        <v>0.47088917246741724</v>
      </c>
      <c r="E859" s="52">
        <v>0.18870626995433251</v>
      </c>
      <c r="F859" s="52">
        <v>0.10275915439960286</v>
      </c>
      <c r="G859" s="52">
        <v>4.2279124364150114E-2</v>
      </c>
      <c r="H859" s="52">
        <v>0.10200607563859425</v>
      </c>
      <c r="I859" s="119">
        <v>153.99160736606311</v>
      </c>
    </row>
    <row r="860" spans="1:9" x14ac:dyDescent="0.3">
      <c r="A860" s="23">
        <v>842</v>
      </c>
      <c r="B860" s="52">
        <v>6.6707476564125248E-2</v>
      </c>
      <c r="C860" s="52">
        <v>0.29770829608684601</v>
      </c>
      <c r="D860" s="52">
        <v>0.73606811694821417</v>
      </c>
      <c r="E860" s="52">
        <v>0.21072254012681207</v>
      </c>
      <c r="F860" s="52">
        <v>8.5184155109640697E-2</v>
      </c>
      <c r="G860" s="52">
        <v>6.1006902859793939E-2</v>
      </c>
      <c r="H860" s="52">
        <v>0.12381483057940247</v>
      </c>
      <c r="I860" s="119">
        <v>837.22678691364558</v>
      </c>
    </row>
    <row r="861" spans="1:9" x14ac:dyDescent="0.3">
      <c r="A861" s="23">
        <v>843</v>
      </c>
      <c r="B861" s="52">
        <v>7.7201980078621932E-2</v>
      </c>
      <c r="C861" s="52">
        <v>0.29194841966750307</v>
      </c>
      <c r="D861" s="52">
        <v>0.5454979188619915</v>
      </c>
      <c r="E861" s="52">
        <v>0.18780455521526346</v>
      </c>
      <c r="F861" s="52">
        <v>9.9119407328522979E-2</v>
      </c>
      <c r="G861" s="52">
        <v>3.9130985536534227E-2</v>
      </c>
      <c r="H861" s="52">
        <v>0.11691143121323505</v>
      </c>
      <c r="I861" s="119">
        <v>219.27470182105228</v>
      </c>
    </row>
    <row r="862" spans="1:9" x14ac:dyDescent="0.3">
      <c r="A862" s="23">
        <v>844</v>
      </c>
      <c r="B862" s="52">
        <v>5.9614448495791908E-2</v>
      </c>
      <c r="C862" s="52">
        <v>0.27878690243755744</v>
      </c>
      <c r="D862" s="52">
        <v>0.57774279540558693</v>
      </c>
      <c r="E862" s="52">
        <v>0.20039062072166691</v>
      </c>
      <c r="F862" s="52">
        <v>8.8793176790249395E-2</v>
      </c>
      <c r="G862" s="52">
        <v>4.7169579145834306E-2</v>
      </c>
      <c r="H862" s="52">
        <v>0.11761253164816607</v>
      </c>
      <c r="I862" s="119">
        <v>318.80257002313624</v>
      </c>
    </row>
    <row r="863" spans="1:9" x14ac:dyDescent="0.3">
      <c r="A863" s="23">
        <v>845</v>
      </c>
      <c r="B863" s="52">
        <v>6.202998024237541E-2</v>
      </c>
      <c r="C863" s="52">
        <v>0.27968344614434015</v>
      </c>
      <c r="D863" s="52">
        <v>0.56411014336744403</v>
      </c>
      <c r="E863" s="52">
        <v>0.18990384383177863</v>
      </c>
      <c r="F863" s="52">
        <v>0.10241405023750791</v>
      </c>
      <c r="G863" s="52">
        <v>6.0743596558892381E-2</v>
      </c>
      <c r="H863" s="52">
        <v>0.10111887553928622</v>
      </c>
      <c r="I863" s="119">
        <v>300.2086376809487</v>
      </c>
    </row>
    <row r="864" spans="1:9" x14ac:dyDescent="0.3">
      <c r="A864" s="23">
        <v>846</v>
      </c>
      <c r="B864" s="52">
        <v>6.1169786205170246E-2</v>
      </c>
      <c r="C864" s="52">
        <v>0.27429820637051111</v>
      </c>
      <c r="D864" s="52">
        <v>0.66363460873590341</v>
      </c>
      <c r="E864" s="52">
        <v>0.21222749228473001</v>
      </c>
      <c r="F864" s="52">
        <v>9.4488469724060303E-2</v>
      </c>
      <c r="G864" s="52">
        <v>2.7836189828129007E-2</v>
      </c>
      <c r="H864" s="52">
        <v>0.11491946729195522</v>
      </c>
      <c r="I864" s="119">
        <v>116.94607879998186</v>
      </c>
    </row>
    <row r="865" spans="1:9" x14ac:dyDescent="0.3">
      <c r="A865" s="23">
        <v>847</v>
      </c>
      <c r="B865" s="52">
        <v>5.4897869340645764E-2</v>
      </c>
      <c r="C865" s="52">
        <v>0.28016742669349776</v>
      </c>
      <c r="D865" s="52">
        <v>0.49730688271024648</v>
      </c>
      <c r="E865" s="52">
        <v>0.18900078716757573</v>
      </c>
      <c r="F865" s="52">
        <v>0.10178733185292388</v>
      </c>
      <c r="G865" s="52">
        <v>3.99741637706581E-2</v>
      </c>
      <c r="H865" s="52">
        <v>0.10674202287954399</v>
      </c>
      <c r="I865" s="119">
        <v>137.54774322645974</v>
      </c>
    </row>
    <row r="866" spans="1:9" x14ac:dyDescent="0.3">
      <c r="A866" s="23">
        <v>848</v>
      </c>
      <c r="B866" s="52">
        <v>6.3095777080046572E-2</v>
      </c>
      <c r="C866" s="52">
        <v>0.29102773167516521</v>
      </c>
      <c r="D866" s="52">
        <v>0.46699922045745657</v>
      </c>
      <c r="E866" s="52">
        <v>0.19472798417396434</v>
      </c>
      <c r="F866" s="52">
        <v>8.8248353578781108E-2</v>
      </c>
      <c r="G866" s="52">
        <v>5.538295011705506E-2</v>
      </c>
      <c r="H866" s="52">
        <v>0.10702863470722866</v>
      </c>
      <c r="I866" s="119">
        <v>520.54204497929391</v>
      </c>
    </row>
    <row r="867" spans="1:9" x14ac:dyDescent="0.3">
      <c r="A867" s="23">
        <v>849</v>
      </c>
      <c r="B867" s="52">
        <v>6.4840621551257444E-2</v>
      </c>
      <c r="C867" s="52">
        <v>0.28251218923545818</v>
      </c>
      <c r="D867" s="52">
        <v>0.50711608320986112</v>
      </c>
      <c r="E867" s="52">
        <v>0.20141265415249726</v>
      </c>
      <c r="F867" s="52">
        <v>9.6775940320511358E-2</v>
      </c>
      <c r="G867" s="52">
        <v>5.1881470580229821E-2</v>
      </c>
      <c r="H867" s="52">
        <v>0.11506322062021483</v>
      </c>
      <c r="I867" s="119">
        <v>292.02408969210609</v>
      </c>
    </row>
    <row r="868" spans="1:9" x14ac:dyDescent="0.3">
      <c r="A868" s="23">
        <v>850</v>
      </c>
      <c r="B868" s="52">
        <v>7.0024860048475079E-2</v>
      </c>
      <c r="C868" s="52">
        <v>0.30103521961285856</v>
      </c>
      <c r="D868" s="52">
        <v>0.66362680268178997</v>
      </c>
      <c r="E868" s="52">
        <v>0.19443336380589066</v>
      </c>
      <c r="F868" s="52">
        <v>9.1983421549523048E-2</v>
      </c>
      <c r="G868" s="52">
        <v>5.6101536965282979E-2</v>
      </c>
      <c r="H868" s="52">
        <v>9.9263578648603551E-2</v>
      </c>
      <c r="I868" s="119">
        <v>518.3616100684186</v>
      </c>
    </row>
    <row r="869" spans="1:9" x14ac:dyDescent="0.3">
      <c r="A869" s="23">
        <v>851</v>
      </c>
      <c r="B869" s="52">
        <v>6.1830037465246679E-2</v>
      </c>
      <c r="C869" s="52">
        <v>0.2927030694192031</v>
      </c>
      <c r="D869" s="52">
        <v>0.75755991502032904</v>
      </c>
      <c r="E869" s="52">
        <v>0.16946943533899342</v>
      </c>
      <c r="F869" s="52">
        <v>9.5542434213448213E-2</v>
      </c>
      <c r="G869" s="52">
        <v>4.118021658512782E-2</v>
      </c>
      <c r="H869" s="52">
        <v>0.12535685652026007</v>
      </c>
      <c r="I869" s="119">
        <v>239.64855039880973</v>
      </c>
    </row>
    <row r="870" spans="1:9" x14ac:dyDescent="0.3">
      <c r="A870" s="23">
        <v>852</v>
      </c>
      <c r="B870" s="52">
        <v>5.9298132508370474E-2</v>
      </c>
      <c r="C870" s="52">
        <v>0.28248939236067255</v>
      </c>
      <c r="D870" s="52">
        <v>0.45349757978423028</v>
      </c>
      <c r="E870" s="52">
        <v>0.20448372176893614</v>
      </c>
      <c r="F870" s="52">
        <v>9.4877943681026602E-2</v>
      </c>
      <c r="G870" s="52">
        <v>4.924288131213149E-2</v>
      </c>
      <c r="H870" s="52">
        <v>9.1595192715293636E-2</v>
      </c>
      <c r="I870" s="119">
        <v>277.08982655617183</v>
      </c>
    </row>
    <row r="871" spans="1:9" x14ac:dyDescent="0.3">
      <c r="A871" s="23">
        <v>853</v>
      </c>
      <c r="B871" s="52">
        <v>6.046652771481692E-2</v>
      </c>
      <c r="C871" s="52">
        <v>0.24149161589524074</v>
      </c>
      <c r="D871" s="52">
        <v>0.45526457857407521</v>
      </c>
      <c r="E871" s="52">
        <v>0.21128008842692284</v>
      </c>
      <c r="F871" s="52">
        <v>0.10128310971684654</v>
      </c>
      <c r="G871" s="52">
        <v>4.8396145573600252E-2</v>
      </c>
      <c r="H871" s="52">
        <v>8.3637718799480704E-2</v>
      </c>
      <c r="I871" s="119">
        <v>80.898864766875775</v>
      </c>
    </row>
    <row r="872" spans="1:9" x14ac:dyDescent="0.3">
      <c r="A872" s="23">
        <v>854</v>
      </c>
      <c r="B872" s="52">
        <v>7.7095095496886062E-2</v>
      </c>
      <c r="C872" s="52">
        <v>0.289208409479498</v>
      </c>
      <c r="D872" s="52">
        <v>0.67638857587898249</v>
      </c>
      <c r="E872" s="52">
        <v>0.18088745039908125</v>
      </c>
      <c r="F872" s="52">
        <v>0.10445489222208064</v>
      </c>
      <c r="G872" s="52">
        <v>4.7314632169400558E-2</v>
      </c>
      <c r="H872" s="52">
        <v>0.10669519644457519</v>
      </c>
      <c r="I872" s="119">
        <v>221.05096523096859</v>
      </c>
    </row>
    <row r="873" spans="1:9" x14ac:dyDescent="0.3">
      <c r="A873" s="23">
        <v>855</v>
      </c>
      <c r="B873" s="52">
        <v>6.2045303179275327E-2</v>
      </c>
      <c r="C873" s="52">
        <v>0.28721367657183572</v>
      </c>
      <c r="D873" s="52">
        <v>0.67968795801321424</v>
      </c>
      <c r="E873" s="52">
        <v>0.18713897743220137</v>
      </c>
      <c r="F873" s="52">
        <v>9.5725751317368171E-2</v>
      </c>
      <c r="G873" s="52">
        <v>4.6746916389931371E-2</v>
      </c>
      <c r="H873" s="52">
        <v>0.10732925016353814</v>
      </c>
      <c r="I873" s="119">
        <v>265.8796179632588</v>
      </c>
    </row>
    <row r="874" spans="1:9" x14ac:dyDescent="0.3">
      <c r="A874" s="23">
        <v>856</v>
      </c>
      <c r="B874" s="52">
        <v>6.6408036385661701E-2</v>
      </c>
      <c r="C874" s="52">
        <v>0.30239192101141232</v>
      </c>
      <c r="D874" s="52">
        <v>0.5827426361163287</v>
      </c>
      <c r="E874" s="52">
        <v>0.20707745077198336</v>
      </c>
      <c r="F874" s="52">
        <v>9.3649709991392008E-2</v>
      </c>
      <c r="G874" s="52">
        <v>6.0126622561842362E-2</v>
      </c>
      <c r="H874" s="52">
        <v>0.11769110853194258</v>
      </c>
      <c r="I874" s="119">
        <v>556.72720710210785</v>
      </c>
    </row>
    <row r="875" spans="1:9" x14ac:dyDescent="0.3">
      <c r="A875" s="23">
        <v>857</v>
      </c>
      <c r="B875" s="52">
        <v>6.0500081310243703E-2</v>
      </c>
      <c r="C875" s="52">
        <v>0.28411258316987592</v>
      </c>
      <c r="D875" s="52">
        <v>0.55517453032003017</v>
      </c>
      <c r="E875" s="52">
        <v>0.18062636562541734</v>
      </c>
      <c r="F875" s="52">
        <v>9.7600849522434044E-2</v>
      </c>
      <c r="G875" s="52">
        <v>5.8418765368175224E-2</v>
      </c>
      <c r="H875" s="52">
        <v>0.11226580722893617</v>
      </c>
      <c r="I875" s="119">
        <v>354.64728791680517</v>
      </c>
    </row>
    <row r="876" spans="1:9" x14ac:dyDescent="0.3">
      <c r="A876" s="23">
        <v>858</v>
      </c>
      <c r="B876" s="52">
        <v>5.8927544095206577E-2</v>
      </c>
      <c r="C876" s="52">
        <v>0.31514658926382483</v>
      </c>
      <c r="D876" s="52">
        <v>0.66642525358802418</v>
      </c>
      <c r="E876" s="52">
        <v>0.19491246185213595</v>
      </c>
      <c r="F876" s="52">
        <v>8.0729795364581539E-2</v>
      </c>
      <c r="G876" s="52">
        <v>4.2432250913793032E-2</v>
      </c>
      <c r="H876" s="52">
        <v>0.10298675496973971</v>
      </c>
      <c r="I876" s="119">
        <v>534.77171265567733</v>
      </c>
    </row>
    <row r="877" spans="1:9" x14ac:dyDescent="0.3">
      <c r="A877" s="23">
        <v>859</v>
      </c>
      <c r="B877" s="52">
        <v>8.2376831275663018E-2</v>
      </c>
      <c r="C877" s="52">
        <v>0.27493805269402</v>
      </c>
      <c r="D877" s="52">
        <v>0.52247322383229533</v>
      </c>
      <c r="E877" s="52">
        <v>0.18864103292480763</v>
      </c>
      <c r="F877" s="52">
        <v>9.857678851057787E-2</v>
      </c>
      <c r="G877" s="52">
        <v>5.2752110681191178E-2</v>
      </c>
      <c r="H877" s="52">
        <v>0.1070828088285127</v>
      </c>
      <c r="I877" s="119">
        <v>285.02462271591332</v>
      </c>
    </row>
    <row r="878" spans="1:9" x14ac:dyDescent="0.3">
      <c r="A878" s="23">
        <v>860</v>
      </c>
      <c r="B878" s="52">
        <v>5.4819859660873986E-2</v>
      </c>
      <c r="C878" s="52">
        <v>0.2724377554670856</v>
      </c>
      <c r="D878" s="52">
        <v>0.65769526157724878</v>
      </c>
      <c r="E878" s="52">
        <v>0.17541397218573235</v>
      </c>
      <c r="F878" s="52">
        <v>8.9694199505480979E-2</v>
      </c>
      <c r="G878" s="52">
        <v>5.8507243802749888E-2</v>
      </c>
      <c r="H878" s="52">
        <v>0.10189965421288016</v>
      </c>
      <c r="I878" s="119">
        <v>436.75778477391992</v>
      </c>
    </row>
    <row r="879" spans="1:9" x14ac:dyDescent="0.3">
      <c r="A879" s="23">
        <v>861</v>
      </c>
      <c r="B879" s="52">
        <v>6.190940544914797E-2</v>
      </c>
      <c r="C879" s="52">
        <v>0.27215763327109621</v>
      </c>
      <c r="D879" s="52">
        <v>0.59903501943426996</v>
      </c>
      <c r="E879" s="52">
        <v>0.18854573197588193</v>
      </c>
      <c r="F879" s="52">
        <v>8.5803134970553863E-2</v>
      </c>
      <c r="G879" s="52">
        <v>6.4780895531291072E-2</v>
      </c>
      <c r="H879" s="52">
        <v>8.8123275465683243E-2</v>
      </c>
      <c r="I879" s="119">
        <v>772.81148775028464</v>
      </c>
    </row>
    <row r="880" spans="1:9" x14ac:dyDescent="0.3">
      <c r="A880" s="23">
        <v>862</v>
      </c>
      <c r="B880" s="52">
        <v>6.5283162821575424E-2</v>
      </c>
      <c r="C880" s="52">
        <v>0.29080764930438352</v>
      </c>
      <c r="D880" s="52">
        <v>0.64501707963501831</v>
      </c>
      <c r="E880" s="52">
        <v>0.20335502743901526</v>
      </c>
      <c r="F880" s="52">
        <v>0.10142173705050019</v>
      </c>
      <c r="G880" s="52">
        <v>7.0782038196854399E-2</v>
      </c>
      <c r="H880" s="52">
        <v>0.10872567111545997</v>
      </c>
      <c r="I880" s="119">
        <v>538.67235577300539</v>
      </c>
    </row>
    <row r="881" spans="1:9" x14ac:dyDescent="0.3">
      <c r="A881" s="23">
        <v>863</v>
      </c>
      <c r="B881" s="52">
        <v>6.8100351334108453E-2</v>
      </c>
      <c r="C881" s="52">
        <v>0.27402810394115423</v>
      </c>
      <c r="D881" s="52">
        <v>0.50809507733940651</v>
      </c>
      <c r="E881" s="52">
        <v>0.17365356184083486</v>
      </c>
      <c r="F881" s="52">
        <v>8.493837346337535E-2</v>
      </c>
      <c r="G881" s="52">
        <v>4.8988310587609184E-2</v>
      </c>
      <c r="H881" s="52">
        <v>0.11175022399402396</v>
      </c>
      <c r="I881" s="119">
        <v>404.01693370681954</v>
      </c>
    </row>
    <row r="882" spans="1:9" x14ac:dyDescent="0.3">
      <c r="A882" s="23">
        <v>864</v>
      </c>
      <c r="B882" s="52">
        <v>5.6523606677712938E-2</v>
      </c>
      <c r="C882" s="52">
        <v>0.29511594909663963</v>
      </c>
      <c r="D882" s="52">
        <v>0.54958963436975572</v>
      </c>
      <c r="E882" s="52">
        <v>0.16006907109751176</v>
      </c>
      <c r="F882" s="52">
        <v>9.3231735121779735E-2</v>
      </c>
      <c r="G882" s="52">
        <v>5.5716416896008619E-2</v>
      </c>
      <c r="H882" s="52">
        <v>9.0696946740164375E-2</v>
      </c>
      <c r="I882" s="119">
        <v>424.1406963254052</v>
      </c>
    </row>
    <row r="883" spans="1:9" x14ac:dyDescent="0.3">
      <c r="A883" s="23">
        <v>865</v>
      </c>
      <c r="B883" s="52">
        <v>4.7851459163557798E-2</v>
      </c>
      <c r="C883" s="52">
        <v>0.29363886575884102</v>
      </c>
      <c r="D883" s="52">
        <v>0.45672870311600683</v>
      </c>
      <c r="E883" s="52">
        <v>0.20872105310336922</v>
      </c>
      <c r="F883" s="52">
        <v>9.1444179757652275E-2</v>
      </c>
      <c r="G883" s="52">
        <v>5.1231579553250139E-2</v>
      </c>
      <c r="H883" s="52">
        <v>9.5279496593064353E-2</v>
      </c>
      <c r="I883" s="119">
        <v>362.29206655169276</v>
      </c>
    </row>
    <row r="884" spans="1:9" x14ac:dyDescent="0.3">
      <c r="A884" s="23">
        <v>866</v>
      </c>
      <c r="B884" s="52">
        <v>7.8137099469782256E-2</v>
      </c>
      <c r="C884" s="52">
        <v>0.27720953283171729</v>
      </c>
      <c r="D884" s="52">
        <v>0.59155789365334344</v>
      </c>
      <c r="E884" s="52">
        <v>0.18124728635434856</v>
      </c>
      <c r="F884" s="52">
        <v>0.10033724637388297</v>
      </c>
      <c r="G884" s="52">
        <v>3.8968856597417251E-2</v>
      </c>
      <c r="H884" s="52">
        <v>0.10383812430241811</v>
      </c>
      <c r="I884" s="119">
        <v>166.7519254817137</v>
      </c>
    </row>
    <row r="885" spans="1:9" x14ac:dyDescent="0.3">
      <c r="A885" s="23">
        <v>867</v>
      </c>
      <c r="B885" s="52">
        <v>6.3023119884167186E-2</v>
      </c>
      <c r="C885" s="52">
        <v>0.30074776452015811</v>
      </c>
      <c r="D885" s="52">
        <v>0.65385958610267569</v>
      </c>
      <c r="E885" s="52">
        <v>0.19219888108734942</v>
      </c>
      <c r="F885" s="52">
        <v>0.10280927127784217</v>
      </c>
      <c r="G885" s="52">
        <v>6.0116004074632724E-2</v>
      </c>
      <c r="H885" s="52">
        <v>0.11133409118413731</v>
      </c>
      <c r="I885" s="119">
        <v>368.25950543641125</v>
      </c>
    </row>
    <row r="886" spans="1:9" x14ac:dyDescent="0.3">
      <c r="A886" s="23">
        <v>868</v>
      </c>
      <c r="B886" s="52">
        <v>6.3476848432581293E-2</v>
      </c>
      <c r="C886" s="52">
        <v>0.27823303033841068</v>
      </c>
      <c r="D886" s="52">
        <v>0.50082585996967977</v>
      </c>
      <c r="E886" s="52">
        <v>0.17241669932812012</v>
      </c>
      <c r="F886" s="52">
        <v>9.8405859476164953E-2</v>
      </c>
      <c r="G886" s="52">
        <v>2.9816288044010437E-2</v>
      </c>
      <c r="H886" s="52">
        <v>0.10744083598468075</v>
      </c>
      <c r="I886" s="119">
        <v>116.8593180760266</v>
      </c>
    </row>
    <row r="887" spans="1:9" x14ac:dyDescent="0.3">
      <c r="A887" s="23">
        <v>869</v>
      </c>
      <c r="B887" s="52">
        <v>5.9042813555819487E-2</v>
      </c>
      <c r="C887" s="52">
        <v>0.28559174447212043</v>
      </c>
      <c r="D887" s="52">
        <v>0.48179773294625933</v>
      </c>
      <c r="E887" s="52">
        <v>0.20042280533250686</v>
      </c>
      <c r="F887" s="52">
        <v>0.10573975301053515</v>
      </c>
      <c r="G887" s="52">
        <v>5.0922672961417143E-2</v>
      </c>
      <c r="H887" s="52">
        <v>9.9733693815883304E-2</v>
      </c>
      <c r="I887" s="119">
        <v>194.05252151305618</v>
      </c>
    </row>
    <row r="888" spans="1:9" x14ac:dyDescent="0.3">
      <c r="A888" s="23">
        <v>870</v>
      </c>
      <c r="B888" s="52">
        <v>5.4018795038451743E-2</v>
      </c>
      <c r="C888" s="52">
        <v>0.30255990835859015</v>
      </c>
      <c r="D888" s="52">
        <v>0.43945120640606222</v>
      </c>
      <c r="E888" s="52">
        <v>0.21308134941990239</v>
      </c>
      <c r="F888" s="52">
        <v>9.2387387684667421E-2</v>
      </c>
      <c r="G888" s="52">
        <v>4.4999113299408471E-2</v>
      </c>
      <c r="H888" s="52">
        <v>0.11103739781482197</v>
      </c>
      <c r="I888" s="119">
        <v>322.94353218628055</v>
      </c>
    </row>
    <row r="889" spans="1:9" x14ac:dyDescent="0.3">
      <c r="A889" s="23">
        <v>871</v>
      </c>
      <c r="B889" s="52">
        <v>5.1940833115718801E-2</v>
      </c>
      <c r="C889" s="52">
        <v>0.29863133581593748</v>
      </c>
      <c r="D889" s="52">
        <v>0.49625333794707599</v>
      </c>
      <c r="E889" s="52">
        <v>0.18458824963066414</v>
      </c>
      <c r="F889" s="52">
        <v>9.634446996707885E-2</v>
      </c>
      <c r="G889" s="52">
        <v>5.6686639209856365E-2</v>
      </c>
      <c r="H889" s="52">
        <v>0.10250818928839896</v>
      </c>
      <c r="I889" s="119">
        <v>387.97041673737982</v>
      </c>
    </row>
    <row r="890" spans="1:9" x14ac:dyDescent="0.3">
      <c r="A890" s="23">
        <v>872</v>
      </c>
      <c r="B890" s="52">
        <v>6.5682920821674776E-2</v>
      </c>
      <c r="C890" s="52">
        <v>0.26416554814748239</v>
      </c>
      <c r="D890" s="52">
        <v>0.54890610330697598</v>
      </c>
      <c r="E890" s="52">
        <v>0.19987548118668416</v>
      </c>
      <c r="F890" s="52">
        <v>0.10368031435768094</v>
      </c>
      <c r="G890" s="52">
        <v>5.2948843774338533E-2</v>
      </c>
      <c r="H890" s="52">
        <v>0.11290265141232605</v>
      </c>
      <c r="I890" s="119">
        <v>169.27631243652084</v>
      </c>
    </row>
    <row r="891" spans="1:9" x14ac:dyDescent="0.3">
      <c r="A891" s="23">
        <v>873</v>
      </c>
      <c r="B891" s="52">
        <v>5.5358187429176149E-2</v>
      </c>
      <c r="C891" s="52">
        <v>0.2829227150277201</v>
      </c>
      <c r="D891" s="52">
        <v>0.60510815141185104</v>
      </c>
      <c r="E891" s="52">
        <v>0.15489122442093384</v>
      </c>
      <c r="F891" s="52">
        <v>9.4229098097652911E-2</v>
      </c>
      <c r="G891" s="52">
        <v>6.2172268666295431E-2</v>
      </c>
      <c r="H891" s="52">
        <v>9.7005248529028726E-2</v>
      </c>
      <c r="I891" s="119">
        <v>460.54990613915419</v>
      </c>
    </row>
    <row r="892" spans="1:9" x14ac:dyDescent="0.3">
      <c r="A892" s="23">
        <v>874</v>
      </c>
      <c r="B892" s="52">
        <v>5.2569519063892532E-2</v>
      </c>
      <c r="C892" s="52">
        <v>0.26228109363446872</v>
      </c>
      <c r="D892" s="52">
        <v>0.44035847639409775</v>
      </c>
      <c r="E892" s="52">
        <v>0.20426399313150675</v>
      </c>
      <c r="F892" s="52">
        <v>9.1235753509049278E-2</v>
      </c>
      <c r="G892" s="52">
        <v>4.0821796722032504E-2</v>
      </c>
      <c r="H892" s="52">
        <v>0.10147110478204362</v>
      </c>
      <c r="I892" s="119">
        <v>163.84356796471869</v>
      </c>
    </row>
    <row r="893" spans="1:9" x14ac:dyDescent="0.3">
      <c r="A893" s="23">
        <v>875</v>
      </c>
      <c r="B893" s="52">
        <v>5.1863800338123815E-2</v>
      </c>
      <c r="C893" s="52">
        <v>0.25680979630653633</v>
      </c>
      <c r="D893" s="52">
        <v>0.47948643134154062</v>
      </c>
      <c r="E893" s="52">
        <v>0.17913827293694712</v>
      </c>
      <c r="F893" s="52">
        <v>0.10314959127869207</v>
      </c>
      <c r="G893" s="52">
        <v>3.9557444827086466E-2</v>
      </c>
      <c r="H893" s="52">
        <v>0.11071962447195792</v>
      </c>
      <c r="I893" s="119">
        <v>63.585151379300427</v>
      </c>
    </row>
    <row r="894" spans="1:9" x14ac:dyDescent="0.3">
      <c r="A894" s="23">
        <v>876</v>
      </c>
      <c r="B894" s="52">
        <v>6.2136643167052877E-2</v>
      </c>
      <c r="C894" s="52">
        <v>0.31421355286204727</v>
      </c>
      <c r="D894" s="52">
        <v>0.43027879895393228</v>
      </c>
      <c r="E894" s="52">
        <v>0.20612823079430645</v>
      </c>
      <c r="F894" s="52">
        <v>0.10418126551762148</v>
      </c>
      <c r="G894" s="52">
        <v>6.9881682278865459E-2</v>
      </c>
      <c r="H894" s="52">
        <v>0.11195828323777507</v>
      </c>
      <c r="I894" s="119">
        <v>552.24274890758431</v>
      </c>
    </row>
    <row r="895" spans="1:9" x14ac:dyDescent="0.3">
      <c r="A895" s="23">
        <v>877</v>
      </c>
      <c r="B895" s="52">
        <v>6.2455238993477533E-2</v>
      </c>
      <c r="C895" s="52">
        <v>0.27880175054532741</v>
      </c>
      <c r="D895" s="52">
        <v>0.4334421615632601</v>
      </c>
      <c r="E895" s="52">
        <v>0.19063640332975265</v>
      </c>
      <c r="F895" s="52">
        <v>0.1037929796365938</v>
      </c>
      <c r="G895" s="52">
        <v>6.1452812930150209E-2</v>
      </c>
      <c r="H895" s="52">
        <v>0.10464064910380763</v>
      </c>
      <c r="I895" s="119">
        <v>287.68751841704994</v>
      </c>
    </row>
    <row r="896" spans="1:9" x14ac:dyDescent="0.3">
      <c r="A896" s="23">
        <v>878</v>
      </c>
      <c r="B896" s="52">
        <v>6.2694051389972014E-2</v>
      </c>
      <c r="C896" s="52">
        <v>0.29676866565794269</v>
      </c>
      <c r="D896" s="52">
        <v>0.67199785298714576</v>
      </c>
      <c r="E896" s="52">
        <v>0.20097480891259062</v>
      </c>
      <c r="F896" s="52">
        <v>9.0410793394682734E-2</v>
      </c>
      <c r="G896" s="52">
        <v>5.8867338720048859E-2</v>
      </c>
      <c r="H896" s="52">
        <v>0.12728280738631043</v>
      </c>
      <c r="I896" s="119">
        <v>570.95020664047627</v>
      </c>
    </row>
    <row r="897" spans="1:9" x14ac:dyDescent="0.3">
      <c r="A897" s="23">
        <v>879</v>
      </c>
      <c r="B897" s="52">
        <v>5.519064419695309E-2</v>
      </c>
      <c r="C897" s="52">
        <v>0.30346351663153998</v>
      </c>
      <c r="D897" s="52">
        <v>0.47875722369552265</v>
      </c>
      <c r="E897" s="52">
        <v>0.19825911417717196</v>
      </c>
      <c r="F897" s="52">
        <v>9.9829717937067297E-2</v>
      </c>
      <c r="G897" s="52">
        <v>5.163232428131391E-2</v>
      </c>
      <c r="H897" s="52">
        <v>0.10523756147098592</v>
      </c>
      <c r="I897" s="119">
        <v>305.89952618800487</v>
      </c>
    </row>
    <row r="898" spans="1:9" x14ac:dyDescent="0.3">
      <c r="A898" s="23">
        <v>880</v>
      </c>
      <c r="B898" s="52">
        <v>8.0771454900715606E-2</v>
      </c>
      <c r="C898" s="52">
        <v>0.30270898979250382</v>
      </c>
      <c r="D898" s="52">
        <v>0.4827765722489985</v>
      </c>
      <c r="E898" s="52">
        <v>0.1996697473126314</v>
      </c>
      <c r="F898" s="52">
        <v>9.2820700946975143E-2</v>
      </c>
      <c r="G898" s="52">
        <v>4.6505075710996109E-2</v>
      </c>
      <c r="H898" s="52">
        <v>0.1038197949976236</v>
      </c>
      <c r="I898" s="119">
        <v>395.21245721684699</v>
      </c>
    </row>
    <row r="899" spans="1:9" x14ac:dyDescent="0.3">
      <c r="A899" s="23">
        <v>881</v>
      </c>
      <c r="B899" s="52">
        <v>7.793434803448035E-2</v>
      </c>
      <c r="C899" s="52">
        <v>0.27922622356538518</v>
      </c>
      <c r="D899" s="52">
        <v>0.45526654304564235</v>
      </c>
      <c r="E899" s="52">
        <v>0.21394452250349283</v>
      </c>
      <c r="F899" s="52">
        <v>0.10022107460947474</v>
      </c>
      <c r="G899" s="52">
        <v>5.1479691146504053E-2</v>
      </c>
      <c r="H899" s="52">
        <v>0.1053258914283116</v>
      </c>
      <c r="I899" s="119">
        <v>262.02594682344829</v>
      </c>
    </row>
    <row r="900" spans="1:9" x14ac:dyDescent="0.3">
      <c r="A900" s="23">
        <v>882</v>
      </c>
      <c r="B900" s="52">
        <v>6.8139130174748513E-2</v>
      </c>
      <c r="C900" s="52">
        <v>0.2923224038306822</v>
      </c>
      <c r="D900" s="52">
        <v>0.4904364919423394</v>
      </c>
      <c r="E900" s="52">
        <v>0.22454109394428545</v>
      </c>
      <c r="F900" s="52">
        <v>0.10490225111332134</v>
      </c>
      <c r="G900" s="52">
        <v>5.5876096971784778E-2</v>
      </c>
      <c r="H900" s="52">
        <v>8.8799227439426975E-2</v>
      </c>
      <c r="I900" s="119">
        <v>277.87115720073382</v>
      </c>
    </row>
    <row r="901" spans="1:9" x14ac:dyDescent="0.3">
      <c r="A901" s="23">
        <v>883</v>
      </c>
      <c r="B901" s="52">
        <v>7.5720042705822943E-2</v>
      </c>
      <c r="C901" s="52">
        <v>0.28800517761866301</v>
      </c>
      <c r="D901" s="52">
        <v>0.51962396490199259</v>
      </c>
      <c r="E901" s="52">
        <v>0.16319857227343612</v>
      </c>
      <c r="F901" s="52">
        <v>9.913767988517877E-2</v>
      </c>
      <c r="G901" s="52">
        <v>5.9452981276853271E-2</v>
      </c>
      <c r="H901" s="52">
        <v>8.0555870856620276E-2</v>
      </c>
      <c r="I901" s="119">
        <v>395.74737998890805</v>
      </c>
    </row>
    <row r="902" spans="1:9" x14ac:dyDescent="0.3">
      <c r="A902" s="23">
        <v>884</v>
      </c>
      <c r="B902" s="52">
        <v>6.8357358642896757E-2</v>
      </c>
      <c r="C902" s="52">
        <v>0.28853363985136526</v>
      </c>
      <c r="D902" s="52">
        <v>0.66465555543285315</v>
      </c>
      <c r="E902" s="52">
        <v>0.20453804688137311</v>
      </c>
      <c r="F902" s="52">
        <v>8.6938880312568009E-2</v>
      </c>
      <c r="G902" s="52">
        <v>3.1037583919722472E-2</v>
      </c>
      <c r="H902" s="52">
        <v>9.6554169184127375E-2</v>
      </c>
      <c r="I902" s="119">
        <v>241.38597278768478</v>
      </c>
    </row>
    <row r="903" spans="1:9" x14ac:dyDescent="0.3">
      <c r="A903" s="23">
        <v>885</v>
      </c>
      <c r="B903" s="52">
        <v>6.8262308908194735E-2</v>
      </c>
      <c r="C903" s="52">
        <v>0.25897207599368827</v>
      </c>
      <c r="D903" s="52">
        <v>0.46135768171702224</v>
      </c>
      <c r="E903" s="52">
        <v>0.17786030792246427</v>
      </c>
      <c r="F903" s="52">
        <v>0.10407042566476007</v>
      </c>
      <c r="G903" s="52">
        <v>4.0648272318681393E-2</v>
      </c>
      <c r="H903" s="52">
        <v>0.11523869706970323</v>
      </c>
      <c r="I903" s="119">
        <v>87.287737299193211</v>
      </c>
    </row>
    <row r="904" spans="1:9" x14ac:dyDescent="0.3">
      <c r="A904" s="23">
        <v>886</v>
      </c>
      <c r="B904" s="52">
        <v>6.1902585044425654E-2</v>
      </c>
      <c r="C904" s="52">
        <v>0.27769764002311931</v>
      </c>
      <c r="D904" s="52">
        <v>0.47131299611096827</v>
      </c>
      <c r="E904" s="52">
        <v>0.19999971162099542</v>
      </c>
      <c r="F904" s="52">
        <v>9.2028471780839782E-2</v>
      </c>
      <c r="G904" s="52">
        <v>5.5287223086894696E-2</v>
      </c>
      <c r="H904" s="52">
        <v>0.10981123775416951</v>
      </c>
      <c r="I904" s="119">
        <v>377.63261536301525</v>
      </c>
    </row>
    <row r="905" spans="1:9" x14ac:dyDescent="0.3">
      <c r="A905" s="23">
        <v>887</v>
      </c>
      <c r="B905" s="52">
        <v>5.6746946684932499E-2</v>
      </c>
      <c r="C905" s="52">
        <v>0.29393527293355226</v>
      </c>
      <c r="D905" s="52">
        <v>0.52635684525468318</v>
      </c>
      <c r="E905" s="52">
        <v>0.20338340444551142</v>
      </c>
      <c r="F905" s="52">
        <v>9.3510829922577671E-2</v>
      </c>
      <c r="G905" s="52">
        <v>3.2520077430231234E-2</v>
      </c>
      <c r="H905" s="52">
        <v>0.10703576455946247</v>
      </c>
      <c r="I905" s="119">
        <v>193.80649615134314</v>
      </c>
    </row>
    <row r="906" spans="1:9" x14ac:dyDescent="0.3">
      <c r="A906" s="23">
        <v>888</v>
      </c>
      <c r="B906" s="52">
        <v>6.5030915230967767E-2</v>
      </c>
      <c r="C906" s="52">
        <v>0.28150748905963835</v>
      </c>
      <c r="D906" s="52">
        <v>0.62858383517368521</v>
      </c>
      <c r="E906" s="52">
        <v>0.17040316867871827</v>
      </c>
      <c r="F906" s="52">
        <v>9.5691337327801038E-2</v>
      </c>
      <c r="G906" s="52">
        <v>4.3296518753573265E-2</v>
      </c>
      <c r="H906" s="52">
        <v>9.6589308273322044E-2</v>
      </c>
      <c r="I906" s="119">
        <v>224.46003674286041</v>
      </c>
    </row>
    <row r="907" spans="1:9" x14ac:dyDescent="0.3">
      <c r="A907" s="23">
        <v>889</v>
      </c>
      <c r="B907" s="52">
        <v>6.4015134534580076E-2</v>
      </c>
      <c r="C907" s="52">
        <v>0.26821980598462375</v>
      </c>
      <c r="D907" s="52">
        <v>0.48146987311875672</v>
      </c>
      <c r="E907" s="52">
        <v>0.19312203072101997</v>
      </c>
      <c r="F907" s="52">
        <v>9.9583759891317639E-2</v>
      </c>
      <c r="G907" s="52">
        <v>5.9919566867845796E-2</v>
      </c>
      <c r="H907" s="52">
        <v>0.11448455536743624</v>
      </c>
      <c r="I907" s="119">
        <v>288.12814335593663</v>
      </c>
    </row>
    <row r="908" spans="1:9" x14ac:dyDescent="0.3">
      <c r="A908" s="23">
        <v>890</v>
      </c>
      <c r="B908" s="52">
        <v>7.9114607913154084E-2</v>
      </c>
      <c r="C908" s="52">
        <v>0.29989182624263583</v>
      </c>
      <c r="D908" s="52">
        <v>0.63777919289664253</v>
      </c>
      <c r="E908" s="52">
        <v>0.17411665206337867</v>
      </c>
      <c r="F908" s="52">
        <v>9.0401959963664541E-2</v>
      </c>
      <c r="G908" s="52">
        <v>6.414576034262931E-2</v>
      </c>
      <c r="H908" s="52">
        <v>0.11527646568718092</v>
      </c>
      <c r="I908" s="119">
        <v>801.8576783502084</v>
      </c>
    </row>
    <row r="909" spans="1:9" x14ac:dyDescent="0.3">
      <c r="A909" s="23">
        <v>891</v>
      </c>
      <c r="B909" s="52">
        <v>6.491528105221421E-2</v>
      </c>
      <c r="C909" s="52">
        <v>0.27725154015086623</v>
      </c>
      <c r="D909" s="52">
        <v>0.51342534339563239</v>
      </c>
      <c r="E909" s="52">
        <v>0.19046454276209454</v>
      </c>
      <c r="F909" s="52">
        <v>9.0383936014590355E-2</v>
      </c>
      <c r="G909" s="52">
        <v>4.2009038467492509E-2</v>
      </c>
      <c r="H909" s="52">
        <v>9.1510105955209892E-2</v>
      </c>
      <c r="I909" s="119">
        <v>251.67338076294573</v>
      </c>
    </row>
    <row r="910" spans="1:9" x14ac:dyDescent="0.3">
      <c r="A910" s="23">
        <v>892</v>
      </c>
      <c r="B910" s="52">
        <v>4.9023825189267539E-2</v>
      </c>
      <c r="C910" s="52">
        <v>0.29710071175909325</v>
      </c>
      <c r="D910" s="52">
        <v>0.47871564716637921</v>
      </c>
      <c r="E910" s="52">
        <v>0.19396395758172522</v>
      </c>
      <c r="F910" s="52">
        <v>8.8963611838377699E-2</v>
      </c>
      <c r="G910" s="52">
        <v>4.2997179050448323E-2</v>
      </c>
      <c r="H910" s="52">
        <v>0.12744792835556618</v>
      </c>
      <c r="I910" s="119">
        <v>315.05425452399641</v>
      </c>
    </row>
    <row r="911" spans="1:9" x14ac:dyDescent="0.3">
      <c r="A911" s="23">
        <v>893</v>
      </c>
      <c r="B911" s="52">
        <v>7.0712676383609285E-2</v>
      </c>
      <c r="C911" s="52">
        <v>0.24892833544033105</v>
      </c>
      <c r="D911" s="52">
        <v>0.44291193413392699</v>
      </c>
      <c r="E911" s="52">
        <v>0.17967799665030226</v>
      </c>
      <c r="F911" s="52">
        <v>9.1569092685737208E-2</v>
      </c>
      <c r="G911" s="52">
        <v>4.0983357097565259E-2</v>
      </c>
      <c r="H911" s="52">
        <v>0.10400315779586024</v>
      </c>
      <c r="I911" s="119">
        <v>143.40107988643985</v>
      </c>
    </row>
    <row r="912" spans="1:9" x14ac:dyDescent="0.3">
      <c r="A912" s="23">
        <v>894</v>
      </c>
      <c r="B912" s="52">
        <v>5.1668839117356646E-2</v>
      </c>
      <c r="C912" s="52">
        <v>0.29583912883729346</v>
      </c>
      <c r="D912" s="52">
        <v>0.4697689583912778</v>
      </c>
      <c r="E912" s="52">
        <v>0.19611109775581964</v>
      </c>
      <c r="F912" s="52">
        <v>9.5568523187703397E-2</v>
      </c>
      <c r="G912" s="52">
        <v>4.6832500796837068E-2</v>
      </c>
      <c r="H912" s="52">
        <v>0.10493770649436096</v>
      </c>
      <c r="I912" s="119">
        <v>276.80358655003079</v>
      </c>
    </row>
    <row r="913" spans="1:9" x14ac:dyDescent="0.3">
      <c r="A913" s="23">
        <v>895</v>
      </c>
      <c r="B913" s="52">
        <v>5.6156554120752322E-2</v>
      </c>
      <c r="C913" s="52">
        <v>0.29422580676896976</v>
      </c>
      <c r="D913" s="52">
        <v>0.68756920058980486</v>
      </c>
      <c r="E913" s="52">
        <v>0.20768348977276019</v>
      </c>
      <c r="F913" s="52">
        <v>0.10445798920971441</v>
      </c>
      <c r="G913" s="52">
        <v>5.5816998201424085E-2</v>
      </c>
      <c r="H913" s="52">
        <v>0.11620832671671585</v>
      </c>
      <c r="I913" s="119">
        <v>265.2858773611481</v>
      </c>
    </row>
    <row r="914" spans="1:9" x14ac:dyDescent="0.3">
      <c r="A914" s="23">
        <v>896</v>
      </c>
      <c r="B914" s="52">
        <v>5.4772867746854949E-2</v>
      </c>
      <c r="C914" s="52">
        <v>0.27440720305274713</v>
      </c>
      <c r="D914" s="52">
        <v>0.61085706647556104</v>
      </c>
      <c r="E914" s="52">
        <v>0.19674547788559957</v>
      </c>
      <c r="F914" s="52">
        <v>0.10144603104209536</v>
      </c>
      <c r="G914" s="52">
        <v>4.6499122241175507E-2</v>
      </c>
      <c r="H914" s="52">
        <v>0.11777971724642353</v>
      </c>
      <c r="I914" s="119">
        <v>160.17951766102792</v>
      </c>
    </row>
    <row r="915" spans="1:9" x14ac:dyDescent="0.3">
      <c r="A915" s="23">
        <v>897</v>
      </c>
      <c r="B915" s="52">
        <v>6.6236998320906681E-2</v>
      </c>
      <c r="C915" s="52">
        <v>0.27254033832119207</v>
      </c>
      <c r="D915" s="52">
        <v>0.52845836081539144</v>
      </c>
      <c r="E915" s="52">
        <v>0.18690869136224222</v>
      </c>
      <c r="F915" s="52">
        <v>9.0855009377861312E-2</v>
      </c>
      <c r="G915" s="52">
        <v>5.0212892310986766E-2</v>
      </c>
      <c r="H915" s="52">
        <v>9.964390968453804E-2</v>
      </c>
      <c r="I915" s="119">
        <v>315.2036490760467</v>
      </c>
    </row>
    <row r="916" spans="1:9" x14ac:dyDescent="0.3">
      <c r="A916" s="23">
        <v>898</v>
      </c>
      <c r="B916" s="52">
        <v>7.0233081416903945E-2</v>
      </c>
      <c r="C916" s="52">
        <v>0.30231475116761586</v>
      </c>
      <c r="D916" s="52">
        <v>0.48666504963488094</v>
      </c>
      <c r="E916" s="52">
        <v>0.19821416665554165</v>
      </c>
      <c r="F916" s="52">
        <v>9.4345083078420364E-2</v>
      </c>
      <c r="G916" s="52">
        <v>6.9310788159934314E-2</v>
      </c>
      <c r="H916" s="52">
        <v>8.8109764493113196E-2</v>
      </c>
      <c r="I916" s="119">
        <v>812.39209119421992</v>
      </c>
    </row>
    <row r="917" spans="1:9" x14ac:dyDescent="0.3">
      <c r="A917" s="23">
        <v>899</v>
      </c>
      <c r="B917" s="52">
        <v>6.9738061639097126E-2</v>
      </c>
      <c r="C917" s="52">
        <v>0.29648374906622799</v>
      </c>
      <c r="D917" s="52">
        <v>0.50235329936890127</v>
      </c>
      <c r="E917" s="52">
        <v>0.19958969916033084</v>
      </c>
      <c r="F917" s="52">
        <v>7.9702721393047585E-2</v>
      </c>
      <c r="G917" s="52">
        <v>4.6635968746084069E-2</v>
      </c>
      <c r="H917" s="52">
        <v>0.10418494624608668</v>
      </c>
      <c r="I917" s="119">
        <v>588.33770363489191</v>
      </c>
    </row>
    <row r="918" spans="1:9" x14ac:dyDescent="0.3">
      <c r="A918" s="23">
        <v>900</v>
      </c>
      <c r="B918" s="52">
        <v>6.2622830470590141E-2</v>
      </c>
      <c r="C918" s="52">
        <v>0.27685045234411915</v>
      </c>
      <c r="D918" s="52">
        <v>0.56072142721759577</v>
      </c>
      <c r="E918" s="52">
        <v>0.2058773955878902</v>
      </c>
      <c r="F918" s="52">
        <v>9.5563613183743457E-2</v>
      </c>
      <c r="G918" s="52">
        <v>5.1544096702376502E-2</v>
      </c>
      <c r="H918" s="52">
        <v>9.9861997565583019E-2</v>
      </c>
      <c r="I918" s="119">
        <v>278.11251835334946</v>
      </c>
    </row>
    <row r="919" spans="1:9" x14ac:dyDescent="0.3">
      <c r="A919" s="23">
        <v>901</v>
      </c>
      <c r="B919" s="52">
        <v>5.2450074129299765E-2</v>
      </c>
      <c r="C919" s="52">
        <v>0.27353984961777261</v>
      </c>
      <c r="D919" s="52">
        <v>0.57242973541397613</v>
      </c>
      <c r="E919" s="52">
        <v>0.19232187253600674</v>
      </c>
      <c r="F919" s="52">
        <v>8.8366538892706348E-2</v>
      </c>
      <c r="G919" s="52">
        <v>6.1073464800947566E-2</v>
      </c>
      <c r="H919" s="52">
        <v>0.10999405624530713</v>
      </c>
      <c r="I919" s="119">
        <v>527.21186176822653</v>
      </c>
    </row>
    <row r="920" spans="1:9" x14ac:dyDescent="0.3">
      <c r="A920" s="23">
        <v>902</v>
      </c>
      <c r="B920" s="52">
        <v>7.1193292169799041E-2</v>
      </c>
      <c r="C920" s="52">
        <v>0.28818684585194526</v>
      </c>
      <c r="D920" s="52">
        <v>0.59620850056074748</v>
      </c>
      <c r="E920" s="52">
        <v>0.2138422245612813</v>
      </c>
      <c r="F920" s="52">
        <v>8.2955835104231823E-2</v>
      </c>
      <c r="G920" s="52">
        <v>5.8492083116174126E-2</v>
      </c>
      <c r="H920" s="52">
        <v>0.11065318273937114</v>
      </c>
      <c r="I920" s="119">
        <v>788.72675074096935</v>
      </c>
    </row>
    <row r="921" spans="1:9" x14ac:dyDescent="0.3">
      <c r="A921" s="23">
        <v>903</v>
      </c>
      <c r="B921" s="52">
        <v>6.0582815033844294E-2</v>
      </c>
      <c r="C921" s="52">
        <v>0.29407390407585526</v>
      </c>
      <c r="D921" s="52">
        <v>0.64068630885902134</v>
      </c>
      <c r="E921" s="52">
        <v>0.19424365205296021</v>
      </c>
      <c r="F921" s="52">
        <v>9.3015141713177235E-2</v>
      </c>
      <c r="G921" s="52">
        <v>6.9710630426190662E-2</v>
      </c>
      <c r="H921" s="52">
        <v>0.10535815530893662</v>
      </c>
      <c r="I921" s="119">
        <v>794.2552349770591</v>
      </c>
    </row>
    <row r="922" spans="1:9" x14ac:dyDescent="0.3">
      <c r="A922" s="23">
        <v>904</v>
      </c>
      <c r="B922" s="52">
        <v>5.9732999651220489E-2</v>
      </c>
      <c r="C922" s="52">
        <v>0.29941479333929966</v>
      </c>
      <c r="D922" s="52">
        <v>0.57029689480335355</v>
      </c>
      <c r="E922" s="52">
        <v>0.18184445617814077</v>
      </c>
      <c r="F922" s="52">
        <v>0.10168907802114834</v>
      </c>
      <c r="G922" s="52">
        <v>7.1164899016846708E-2</v>
      </c>
      <c r="H922" s="52">
        <v>9.1611944780242927E-2</v>
      </c>
      <c r="I922" s="119">
        <v>566.46281294793971</v>
      </c>
    </row>
    <row r="923" spans="1:9" x14ac:dyDescent="0.3">
      <c r="A923" s="23">
        <v>905</v>
      </c>
      <c r="B923" s="52">
        <v>6.1025740045501854E-2</v>
      </c>
      <c r="C923" s="52">
        <v>0.27941060098282472</v>
      </c>
      <c r="D923" s="52">
        <v>0.7011567653806503</v>
      </c>
      <c r="E923" s="52">
        <v>0.21873610777377644</v>
      </c>
      <c r="F923" s="52">
        <v>9.7838909093817178E-2</v>
      </c>
      <c r="G923" s="52">
        <v>3.5481442930004423E-2</v>
      </c>
      <c r="H923" s="52">
        <v>0.1064055080395136</v>
      </c>
      <c r="I923" s="119">
        <v>146.55322182594045</v>
      </c>
    </row>
    <row r="924" spans="1:9" x14ac:dyDescent="0.3">
      <c r="A924" s="23">
        <v>906</v>
      </c>
      <c r="B924" s="52">
        <v>8.3143982109876655E-2</v>
      </c>
      <c r="C924" s="52">
        <v>0.27785844789188258</v>
      </c>
      <c r="D924" s="52">
        <v>0.65704529954826008</v>
      </c>
      <c r="E924" s="52">
        <v>0.20688847137603833</v>
      </c>
      <c r="F924" s="52">
        <v>9.3132315584042474E-2</v>
      </c>
      <c r="G924" s="52">
        <v>3.986289785680594E-2</v>
      </c>
      <c r="H924" s="52">
        <v>0.10214180837801927</v>
      </c>
      <c r="I924" s="119">
        <v>241.19220165909246</v>
      </c>
    </row>
    <row r="925" spans="1:9" x14ac:dyDescent="0.3">
      <c r="A925" s="23">
        <v>907</v>
      </c>
      <c r="B925" s="52">
        <v>5.882541144836953E-2</v>
      </c>
      <c r="C925" s="52">
        <v>0.25014672382874642</v>
      </c>
      <c r="D925" s="52">
        <v>0.55526534759906743</v>
      </c>
      <c r="E925" s="52">
        <v>0.17948315288391553</v>
      </c>
      <c r="F925" s="52">
        <v>0.10174771358124138</v>
      </c>
      <c r="G925" s="52">
        <v>6.1825700407713756E-2</v>
      </c>
      <c r="H925" s="52">
        <v>0.10558417139533553</v>
      </c>
      <c r="I925" s="119">
        <v>201.13200458837343</v>
      </c>
    </row>
    <row r="926" spans="1:9" x14ac:dyDescent="0.3">
      <c r="A926" s="23">
        <v>908</v>
      </c>
      <c r="B926" s="52">
        <v>5.742693738299199E-2</v>
      </c>
      <c r="C926" s="52">
        <v>0.28891338519969312</v>
      </c>
      <c r="D926" s="52">
        <v>0.59235028177417626</v>
      </c>
      <c r="E926" s="52">
        <v>0.20600272156774896</v>
      </c>
      <c r="F926" s="52">
        <v>9.278224954979522E-2</v>
      </c>
      <c r="G926" s="52">
        <v>5.8670293997077655E-2</v>
      </c>
      <c r="H926" s="52">
        <v>0.11223332940055469</v>
      </c>
      <c r="I926" s="119">
        <v>458.41324058251814</v>
      </c>
    </row>
    <row r="927" spans="1:9" x14ac:dyDescent="0.3">
      <c r="A927" s="23">
        <v>909</v>
      </c>
      <c r="B927" s="52">
        <v>5.9338189571417954E-2</v>
      </c>
      <c r="C927" s="52">
        <v>0.28754134034749607</v>
      </c>
      <c r="D927" s="52">
        <v>0.45816543274106197</v>
      </c>
      <c r="E927" s="52">
        <v>0.17735440151397616</v>
      </c>
      <c r="F927" s="52">
        <v>9.8231328492266831E-2</v>
      </c>
      <c r="G927" s="52">
        <v>4.1304461916410379E-2</v>
      </c>
      <c r="H927" s="52">
        <v>0.11952050995994994</v>
      </c>
      <c r="I927" s="119">
        <v>197.74507618143613</v>
      </c>
    </row>
    <row r="928" spans="1:9" x14ac:dyDescent="0.3">
      <c r="A928" s="23">
        <v>910</v>
      </c>
      <c r="B928" s="52">
        <v>6.1431188272805595E-2</v>
      </c>
      <c r="C928" s="52">
        <v>0.29311847902095473</v>
      </c>
      <c r="D928" s="52">
        <v>0.57058651935809812</v>
      </c>
      <c r="E928" s="52">
        <v>0.20120611371742311</v>
      </c>
      <c r="F928" s="52">
        <v>9.2299575932987932E-2</v>
      </c>
      <c r="G928" s="52">
        <v>4.3983916630965736E-2</v>
      </c>
      <c r="H928" s="52">
        <v>0.10027702715981032</v>
      </c>
      <c r="I928" s="119">
        <v>297.20480008553784</v>
      </c>
    </row>
    <row r="929" spans="1:9" x14ac:dyDescent="0.3">
      <c r="A929" s="23">
        <v>911</v>
      </c>
      <c r="B929" s="52">
        <v>5.3710658508241103E-2</v>
      </c>
      <c r="C929" s="52">
        <v>0.27694108844814697</v>
      </c>
      <c r="D929" s="52">
        <v>0.50109706974961243</v>
      </c>
      <c r="E929" s="52">
        <v>0.19149629783056391</v>
      </c>
      <c r="F929" s="52">
        <v>8.482238339976797E-2</v>
      </c>
      <c r="G929" s="52">
        <v>3.4543437521781975E-2</v>
      </c>
      <c r="H929" s="52">
        <v>9.6027342059964882E-2</v>
      </c>
      <c r="I929" s="119">
        <v>224.26808991526559</v>
      </c>
    </row>
    <row r="930" spans="1:9" x14ac:dyDescent="0.3">
      <c r="A930" s="23">
        <v>912</v>
      </c>
      <c r="B930" s="52">
        <v>6.5295876623507165E-2</v>
      </c>
      <c r="C930" s="52">
        <v>0.27524476929806441</v>
      </c>
      <c r="D930" s="52">
        <v>0.49863187831826772</v>
      </c>
      <c r="E930" s="52">
        <v>0.22326459135021745</v>
      </c>
      <c r="F930" s="52">
        <v>9.6803069237541783E-2</v>
      </c>
      <c r="G930" s="52">
        <v>3.9680207376630978E-2</v>
      </c>
      <c r="H930" s="52">
        <v>9.6968234060815839E-2</v>
      </c>
      <c r="I930" s="119">
        <v>171.57550447501472</v>
      </c>
    </row>
    <row r="931" spans="1:9" x14ac:dyDescent="0.3">
      <c r="A931" s="23">
        <v>913</v>
      </c>
      <c r="B931" s="52">
        <v>5.5226198808900354E-2</v>
      </c>
      <c r="C931" s="52">
        <v>0.28940433776463076</v>
      </c>
      <c r="D931" s="52">
        <v>0.68283344152395853</v>
      </c>
      <c r="E931" s="52">
        <v>0.19041026018934637</v>
      </c>
      <c r="F931" s="52">
        <v>0.10275742956433974</v>
      </c>
      <c r="G931" s="52">
        <v>4.6034060708053978E-2</v>
      </c>
      <c r="H931" s="52">
        <v>0.1014951095722597</v>
      </c>
      <c r="I931" s="119">
        <v>190.91641994914417</v>
      </c>
    </row>
    <row r="932" spans="1:9" x14ac:dyDescent="0.3">
      <c r="A932" s="23">
        <v>914</v>
      </c>
      <c r="B932" s="52">
        <v>6.4255146633949697E-2</v>
      </c>
      <c r="C932" s="52">
        <v>0.29448595735707328</v>
      </c>
      <c r="D932" s="52">
        <v>0.75728915580080891</v>
      </c>
      <c r="E932" s="52">
        <v>0.1784901656931708</v>
      </c>
      <c r="F932" s="52">
        <v>0.10277642541900892</v>
      </c>
      <c r="G932" s="52">
        <v>5.2042780176564149E-2</v>
      </c>
      <c r="H932" s="52">
        <v>9.8526566874995752E-2</v>
      </c>
      <c r="I932" s="119">
        <v>266.2829813132509</v>
      </c>
    </row>
    <row r="933" spans="1:9" x14ac:dyDescent="0.3">
      <c r="A933" s="23">
        <v>915</v>
      </c>
      <c r="B933" s="52">
        <v>6.6210966351642378E-2</v>
      </c>
      <c r="C933" s="52">
        <v>0.2879625272023516</v>
      </c>
      <c r="D933" s="52">
        <v>0.43816584973288064</v>
      </c>
      <c r="E933" s="52">
        <v>0.20194068387820233</v>
      </c>
      <c r="F933" s="52">
        <v>8.5965907456121843E-2</v>
      </c>
      <c r="G933" s="52">
        <v>4.3031179695644031E-2</v>
      </c>
      <c r="H933" s="52">
        <v>0.10335914935616411</v>
      </c>
      <c r="I933" s="119">
        <v>359.44449982112513</v>
      </c>
    </row>
    <row r="934" spans="1:9" x14ac:dyDescent="0.3">
      <c r="A934" s="23">
        <v>916</v>
      </c>
      <c r="B934" s="52">
        <v>7.0662158554736523E-2</v>
      </c>
      <c r="C934" s="52">
        <v>0.30251549032957625</v>
      </c>
      <c r="D934" s="52">
        <v>0.65663412899909912</v>
      </c>
      <c r="E934" s="52">
        <v>0.16193543869250854</v>
      </c>
      <c r="F934" s="52">
        <v>9.0226987443613751E-2</v>
      </c>
      <c r="G934" s="52">
        <v>4.8527915745041547E-2</v>
      </c>
      <c r="H934" s="52">
        <v>0.10346851767903781</v>
      </c>
      <c r="I934" s="119">
        <v>435.54940898401691</v>
      </c>
    </row>
    <row r="935" spans="1:9" x14ac:dyDescent="0.3">
      <c r="A935" s="23">
        <v>917</v>
      </c>
      <c r="B935" s="52">
        <v>5.8251909679246247E-2</v>
      </c>
      <c r="C935" s="52">
        <v>0.27816896172157851</v>
      </c>
      <c r="D935" s="52">
        <v>0.49850667506927154</v>
      </c>
      <c r="E935" s="52">
        <v>0.18441780094369972</v>
      </c>
      <c r="F935" s="52">
        <v>8.4901445080909257E-2</v>
      </c>
      <c r="G935" s="52">
        <v>4.627152921453892E-2</v>
      </c>
      <c r="H935" s="52">
        <v>0.1056815272990253</v>
      </c>
      <c r="I935" s="119">
        <v>359.58883294702554</v>
      </c>
    </row>
    <row r="936" spans="1:9" x14ac:dyDescent="0.3">
      <c r="A936" s="23">
        <v>918</v>
      </c>
      <c r="B936" s="52">
        <v>6.4736394156516358E-2</v>
      </c>
      <c r="C936" s="52">
        <v>0.30216540609245041</v>
      </c>
      <c r="D936" s="52">
        <v>0.51882872031813609</v>
      </c>
      <c r="E936" s="52">
        <v>0.19011272498714818</v>
      </c>
      <c r="F936" s="52">
        <v>9.2518068937326156E-2</v>
      </c>
      <c r="G936" s="52">
        <v>3.4538071247457371E-2</v>
      </c>
      <c r="H936" s="52">
        <v>0.1157031528153618</v>
      </c>
      <c r="I936" s="119">
        <v>252.50305425957427</v>
      </c>
    </row>
    <row r="937" spans="1:9" x14ac:dyDescent="0.3">
      <c r="A937" s="23">
        <v>919</v>
      </c>
      <c r="B937" s="52">
        <v>7.098584120845737E-2</v>
      </c>
      <c r="C937" s="52">
        <v>0.29085738220329427</v>
      </c>
      <c r="D937" s="52">
        <v>0.46270173808777165</v>
      </c>
      <c r="E937" s="52">
        <v>0.19507921293723268</v>
      </c>
      <c r="F937" s="52">
        <v>8.5638684781132721E-2</v>
      </c>
      <c r="G937" s="52">
        <v>5.7871313412144146E-2</v>
      </c>
      <c r="H937" s="52">
        <v>9.5045410398786015E-2</v>
      </c>
      <c r="I937" s="119">
        <v>681.61071420956887</v>
      </c>
    </row>
    <row r="938" spans="1:9" x14ac:dyDescent="0.3">
      <c r="A938" s="23">
        <v>920</v>
      </c>
      <c r="B938" s="52">
        <v>5.6640468856809754E-2</v>
      </c>
      <c r="C938" s="52">
        <v>0.25210582723250985</v>
      </c>
      <c r="D938" s="52">
        <v>0.77536724586610695</v>
      </c>
      <c r="E938" s="52">
        <v>0.20261450845172033</v>
      </c>
      <c r="F938" s="52">
        <v>0.10954650659449286</v>
      </c>
      <c r="G938" s="52">
        <v>5.8003660442839958E-2</v>
      </c>
      <c r="H938" s="52">
        <v>0.10728334630397753</v>
      </c>
      <c r="I938" s="119">
        <v>106.44096731265884</v>
      </c>
    </row>
    <row r="939" spans="1:9" x14ac:dyDescent="0.3">
      <c r="A939" s="23">
        <v>921</v>
      </c>
      <c r="B939" s="52">
        <v>5.4762934858960506E-2</v>
      </c>
      <c r="C939" s="52">
        <v>0.2699845864779255</v>
      </c>
      <c r="D939" s="52">
        <v>0.61145514282736002</v>
      </c>
      <c r="E939" s="52">
        <v>0.20773346648253099</v>
      </c>
      <c r="F939" s="52">
        <v>9.4425726322656348E-2</v>
      </c>
      <c r="G939" s="52">
        <v>4.9319044727417272E-2</v>
      </c>
      <c r="H939" s="52">
        <v>0.10165292818004412</v>
      </c>
      <c r="I939" s="119">
        <v>230.35999117007785</v>
      </c>
    </row>
    <row r="940" spans="1:9" x14ac:dyDescent="0.3">
      <c r="A940" s="23">
        <v>922</v>
      </c>
      <c r="B940" s="52">
        <v>8.0886765520505943E-2</v>
      </c>
      <c r="C940" s="52">
        <v>0.31327662712706034</v>
      </c>
      <c r="D940" s="52">
        <v>0.60869916996240958</v>
      </c>
      <c r="E940" s="52">
        <v>0.20048474828787743</v>
      </c>
      <c r="F940" s="52">
        <v>8.823584989817003E-2</v>
      </c>
      <c r="G940" s="52">
        <v>5.1175011441975844E-2</v>
      </c>
      <c r="H940" s="52">
        <v>0.10000275208396793</v>
      </c>
      <c r="I940" s="119">
        <v>596.7280075440932</v>
      </c>
    </row>
    <row r="941" spans="1:9" x14ac:dyDescent="0.3">
      <c r="A941" s="23">
        <v>923</v>
      </c>
      <c r="B941" s="52">
        <v>6.3140199242493839E-2</v>
      </c>
      <c r="C941" s="52">
        <v>0.2778273007736789</v>
      </c>
      <c r="D941" s="52">
        <v>0.58360312353600252</v>
      </c>
      <c r="E941" s="52">
        <v>0.20862165788070006</v>
      </c>
      <c r="F941" s="52">
        <v>9.2274988571453387E-2</v>
      </c>
      <c r="G941" s="52">
        <v>6.8288041188703602E-2</v>
      </c>
      <c r="H941" s="52">
        <v>0.1050733773898493</v>
      </c>
      <c r="I941" s="119">
        <v>675.39773648588084</v>
      </c>
    </row>
    <row r="942" spans="1:9" x14ac:dyDescent="0.3">
      <c r="A942" s="23">
        <v>924</v>
      </c>
      <c r="B942" s="52">
        <v>6.0947012271777734E-2</v>
      </c>
      <c r="C942" s="52">
        <v>0.28030542810115738</v>
      </c>
      <c r="D942" s="52">
        <v>0.5085062230193641</v>
      </c>
      <c r="E942" s="52">
        <v>0.17135524213328152</v>
      </c>
      <c r="F942" s="52">
        <v>0.10197460290941844</v>
      </c>
      <c r="G942" s="52">
        <v>6.1056573834881674E-2</v>
      </c>
      <c r="H942" s="52">
        <v>0.1134811933723571</v>
      </c>
      <c r="I942" s="119">
        <v>309.94237562995289</v>
      </c>
    </row>
    <row r="943" spans="1:9" x14ac:dyDescent="0.3">
      <c r="A943" s="23">
        <v>925</v>
      </c>
      <c r="B943" s="52">
        <v>4.3256217636750902E-2</v>
      </c>
      <c r="C943" s="52">
        <v>0.28239817057432809</v>
      </c>
      <c r="D943" s="52">
        <v>0.57422580585740257</v>
      </c>
      <c r="E943" s="52">
        <v>0.16877448902939798</v>
      </c>
      <c r="F943" s="52">
        <v>9.7871822438467024E-2</v>
      </c>
      <c r="G943" s="52">
        <v>4.7489598350392875E-2</v>
      </c>
      <c r="H943" s="52">
        <v>0.11619779257765903</v>
      </c>
      <c r="I943" s="119">
        <v>202.07186631175341</v>
      </c>
    </row>
    <row r="944" spans="1:9" x14ac:dyDescent="0.3">
      <c r="A944" s="23">
        <v>926</v>
      </c>
      <c r="B944" s="52">
        <v>7.0359059724475689E-2</v>
      </c>
      <c r="C944" s="52">
        <v>0.30190849200557901</v>
      </c>
      <c r="D944" s="52">
        <v>0.59242486558709762</v>
      </c>
      <c r="E944" s="52">
        <v>0.19078941701659563</v>
      </c>
      <c r="F944" s="52">
        <v>8.2042109295895102E-2</v>
      </c>
      <c r="G944" s="52">
        <v>6.0656687985185732E-2</v>
      </c>
      <c r="H944" s="52">
        <v>8.9499157785472766E-2</v>
      </c>
      <c r="I944" s="119">
        <v>1031.1114928582847</v>
      </c>
    </row>
    <row r="945" spans="1:9" x14ac:dyDescent="0.3">
      <c r="A945" s="23">
        <v>927</v>
      </c>
      <c r="B945" s="52">
        <v>5.8363512594451807E-2</v>
      </c>
      <c r="C945" s="52">
        <v>0.28847578768234683</v>
      </c>
      <c r="D945" s="52">
        <v>0.51622889441445918</v>
      </c>
      <c r="E945" s="52">
        <v>0.2034876483429168</v>
      </c>
      <c r="F945" s="52">
        <v>9.9674210226280729E-2</v>
      </c>
      <c r="G945" s="52">
        <v>4.9891075430274719E-2</v>
      </c>
      <c r="H945" s="52">
        <v>8.954406321660914E-2</v>
      </c>
      <c r="I945" s="119">
        <v>249.31885161722013</v>
      </c>
    </row>
    <row r="946" spans="1:9" x14ac:dyDescent="0.3">
      <c r="A946" s="23">
        <v>928</v>
      </c>
      <c r="B946" s="52">
        <v>5.5581565435368685E-2</v>
      </c>
      <c r="C946" s="52">
        <v>0.26700444247955268</v>
      </c>
      <c r="D946" s="52">
        <v>0.49149687161899841</v>
      </c>
      <c r="E946" s="52">
        <v>0.20237526466882741</v>
      </c>
      <c r="F946" s="52">
        <v>9.3443249915299523E-2</v>
      </c>
      <c r="G946" s="52">
        <v>5.9000016579071279E-2</v>
      </c>
      <c r="H946" s="52">
        <v>8.1897380474617504E-2</v>
      </c>
      <c r="I946" s="119">
        <v>347.92318990424457</v>
      </c>
    </row>
    <row r="947" spans="1:9" x14ac:dyDescent="0.3">
      <c r="A947" s="23">
        <v>929</v>
      </c>
      <c r="B947" s="52">
        <v>5.7594729082042821E-2</v>
      </c>
      <c r="C947" s="52">
        <v>0.26547231223097972</v>
      </c>
      <c r="D947" s="52">
        <v>0.53927234311577732</v>
      </c>
      <c r="E947" s="52">
        <v>0.19392210703241131</v>
      </c>
      <c r="F947" s="52">
        <v>9.037430757100888E-2</v>
      </c>
      <c r="G947" s="52">
        <v>5.4695700312349174E-2</v>
      </c>
      <c r="H947" s="52">
        <v>0.10493328345933167</v>
      </c>
      <c r="I947" s="119">
        <v>333.4679235235476</v>
      </c>
    </row>
    <row r="948" spans="1:9" x14ac:dyDescent="0.3">
      <c r="A948" s="23">
        <v>930</v>
      </c>
      <c r="B948" s="52">
        <v>5.6528147933442317E-2</v>
      </c>
      <c r="C948" s="52">
        <v>0.27298710165721757</v>
      </c>
      <c r="D948" s="52">
        <v>0.5271571505163426</v>
      </c>
      <c r="E948" s="52">
        <v>0.18095762797415982</v>
      </c>
      <c r="F948" s="52">
        <v>0.10261126149782684</v>
      </c>
      <c r="G948" s="52">
        <v>4.4676447143875725E-2</v>
      </c>
      <c r="H948" s="52">
        <v>0.10925899503146179</v>
      </c>
      <c r="I948" s="119">
        <v>139.64645657581542</v>
      </c>
    </row>
    <row r="949" spans="1:9" x14ac:dyDescent="0.3">
      <c r="A949" s="23">
        <v>931</v>
      </c>
      <c r="B949" s="52">
        <v>8.6600704043493626E-2</v>
      </c>
      <c r="C949" s="52">
        <v>0.26851886526898799</v>
      </c>
      <c r="D949" s="52">
        <v>0.74781824223082316</v>
      </c>
      <c r="E949" s="52">
        <v>0.17990489444773627</v>
      </c>
      <c r="F949" s="52">
        <v>0.10257853257119158</v>
      </c>
      <c r="G949" s="52">
        <v>5.274282331196177E-2</v>
      </c>
      <c r="H949" s="52">
        <v>9.8126614592816935E-2</v>
      </c>
      <c r="I949" s="119">
        <v>225.53212692039415</v>
      </c>
    </row>
    <row r="950" spans="1:9" x14ac:dyDescent="0.3">
      <c r="A950" s="23">
        <v>932</v>
      </c>
      <c r="B950" s="52">
        <v>5.6697758381221951E-2</v>
      </c>
      <c r="C950" s="52">
        <v>0.28319658325958891</v>
      </c>
      <c r="D950" s="52">
        <v>0.52690932024891779</v>
      </c>
      <c r="E950" s="52">
        <v>0.21199943811163882</v>
      </c>
      <c r="F950" s="52">
        <v>0.10236717688518809</v>
      </c>
      <c r="G950" s="52">
        <v>7.0886264771222215E-2</v>
      </c>
      <c r="H950" s="52">
        <v>8.0085419167986505E-2</v>
      </c>
      <c r="I950" s="119">
        <v>456.70014236834368</v>
      </c>
    </row>
    <row r="951" spans="1:9" x14ac:dyDescent="0.3">
      <c r="A951" s="23">
        <v>933</v>
      </c>
      <c r="B951" s="52">
        <v>5.8437852590011899E-2</v>
      </c>
      <c r="C951" s="52">
        <v>0.27921995056051335</v>
      </c>
      <c r="D951" s="52">
        <v>0.42954645910158207</v>
      </c>
      <c r="E951" s="52">
        <v>0.19755552542312707</v>
      </c>
      <c r="F951" s="52">
        <v>0.10342408856748159</v>
      </c>
      <c r="G951" s="52">
        <v>4.738948185282256E-2</v>
      </c>
      <c r="H951" s="52">
        <v>0.10642881835635754</v>
      </c>
      <c r="I951" s="119">
        <v>170.12154108935184</v>
      </c>
    </row>
    <row r="952" spans="1:9" x14ac:dyDescent="0.3">
      <c r="A952" s="23">
        <v>934</v>
      </c>
      <c r="B952" s="52">
        <v>6.549871418017697E-2</v>
      </c>
      <c r="C952" s="52">
        <v>0.27721193817966305</v>
      </c>
      <c r="D952" s="52">
        <v>0.5041218878963204</v>
      </c>
      <c r="E952" s="52">
        <v>0.18337914256364793</v>
      </c>
      <c r="F952" s="52">
        <v>9.3201653562299175E-2</v>
      </c>
      <c r="G952" s="52">
        <v>5.6416574568521789E-2</v>
      </c>
      <c r="H952" s="52">
        <v>9.9842490505880219E-2</v>
      </c>
      <c r="I952" s="119">
        <v>380.63663859769986</v>
      </c>
    </row>
    <row r="953" spans="1:9" x14ac:dyDescent="0.3">
      <c r="A953" s="23">
        <v>935</v>
      </c>
      <c r="B953" s="52">
        <v>6.8325235831706313E-2</v>
      </c>
      <c r="C953" s="52">
        <v>0.28543956970199602</v>
      </c>
      <c r="D953" s="52">
        <v>0.5895197240664195</v>
      </c>
      <c r="E953" s="52">
        <v>0.17669868118821394</v>
      </c>
      <c r="F953" s="52">
        <v>0.1025964428876274</v>
      </c>
      <c r="G953" s="52">
        <v>5.9190680698564167E-2</v>
      </c>
      <c r="H953" s="52">
        <v>0.10174271695411438</v>
      </c>
      <c r="I953" s="119">
        <v>314.84397341000368</v>
      </c>
    </row>
    <row r="954" spans="1:9" x14ac:dyDescent="0.3">
      <c r="A954" s="23">
        <v>936</v>
      </c>
      <c r="B954" s="52">
        <v>6.433808617355756E-2</v>
      </c>
      <c r="C954" s="52">
        <v>0.24819863389545191</v>
      </c>
      <c r="D954" s="52">
        <v>0.55581085115830287</v>
      </c>
      <c r="E954" s="52">
        <v>0.1699616971412837</v>
      </c>
      <c r="F954" s="52">
        <v>9.9750405311158516E-2</v>
      </c>
      <c r="G954" s="52">
        <v>6.1306340874236941E-2</v>
      </c>
      <c r="H954" s="52">
        <v>0.1012371432736469</v>
      </c>
      <c r="I954" s="119">
        <v>220.64149016837104</v>
      </c>
    </row>
    <row r="955" spans="1:9" x14ac:dyDescent="0.3">
      <c r="A955" s="23">
        <v>937</v>
      </c>
      <c r="B955" s="52">
        <v>5.647536895254119E-2</v>
      </c>
      <c r="C955" s="52">
        <v>0.29639844883953825</v>
      </c>
      <c r="D955" s="52">
        <v>0.60275882484379351</v>
      </c>
      <c r="E955" s="52">
        <v>0.18424255629075442</v>
      </c>
      <c r="F955" s="52">
        <v>0.1010160901332877</v>
      </c>
      <c r="G955" s="52">
        <v>6.1877891112138643E-2</v>
      </c>
      <c r="H955" s="52">
        <v>0.11667555915651087</v>
      </c>
      <c r="I955" s="119">
        <v>387.24646300217967</v>
      </c>
    </row>
    <row r="956" spans="1:9" x14ac:dyDescent="0.3">
      <c r="A956" s="23">
        <v>938</v>
      </c>
      <c r="B956" s="52">
        <v>5.5984998585480755E-2</v>
      </c>
      <c r="C956" s="52">
        <v>0.27397853123399318</v>
      </c>
      <c r="D956" s="52">
        <v>0.57978830552757332</v>
      </c>
      <c r="E956" s="52">
        <v>0.19832463766960945</v>
      </c>
      <c r="F956" s="52">
        <v>0.10368491740096358</v>
      </c>
      <c r="G956" s="52">
        <v>5.0574279491661073E-2</v>
      </c>
      <c r="H956" s="52">
        <v>0.1021931010841232</v>
      </c>
      <c r="I956" s="119">
        <v>169.23015682954579</v>
      </c>
    </row>
    <row r="957" spans="1:9" x14ac:dyDescent="0.3">
      <c r="A957" s="23">
        <v>939</v>
      </c>
      <c r="B957" s="52">
        <v>6.1951219203308212E-2</v>
      </c>
      <c r="C957" s="52">
        <v>0.25948839917261757</v>
      </c>
      <c r="D957" s="52">
        <v>0.55555571203609078</v>
      </c>
      <c r="E957" s="52">
        <v>0.19527380356042964</v>
      </c>
      <c r="F957" s="52">
        <v>9.7362583509657527E-2</v>
      </c>
      <c r="G957" s="52">
        <v>4.1254409965978442E-2</v>
      </c>
      <c r="H957" s="52">
        <v>9.7213030125393188E-2</v>
      </c>
      <c r="I957" s="119">
        <v>124.78251736063801</v>
      </c>
    </row>
    <row r="958" spans="1:9" x14ac:dyDescent="0.3">
      <c r="A958" s="23">
        <v>940</v>
      </c>
      <c r="B958" s="52">
        <v>5.2173200335970477E-2</v>
      </c>
      <c r="C958" s="52">
        <v>0.27555744810025939</v>
      </c>
      <c r="D958" s="52">
        <v>0.45413558186924902</v>
      </c>
      <c r="E958" s="52">
        <v>0.20380772019330773</v>
      </c>
      <c r="F958" s="52">
        <v>0.10255523935568281</v>
      </c>
      <c r="G958" s="52">
        <v>6.5647755418440062E-2</v>
      </c>
      <c r="H958" s="52">
        <v>0.10733521429474058</v>
      </c>
      <c r="I958" s="119">
        <v>322.59997718786695</v>
      </c>
    </row>
    <row r="959" spans="1:9" x14ac:dyDescent="0.3">
      <c r="A959" s="23">
        <v>941</v>
      </c>
      <c r="B959" s="52">
        <v>6.3742879573427141E-2</v>
      </c>
      <c r="C959" s="52">
        <v>0.2791149324445939</v>
      </c>
      <c r="D959" s="52">
        <v>0.63447576022925967</v>
      </c>
      <c r="E959" s="52">
        <v>0.17766121225826678</v>
      </c>
      <c r="F959" s="52">
        <v>9.9701780849059174E-2</v>
      </c>
      <c r="G959" s="52">
        <v>5.2260277914950984E-2</v>
      </c>
      <c r="H959" s="52">
        <v>9.9067290966892457E-2</v>
      </c>
      <c r="I959" s="119">
        <v>248.1796983399289</v>
      </c>
    </row>
    <row r="960" spans="1:9" x14ac:dyDescent="0.3">
      <c r="A960" s="23">
        <v>942</v>
      </c>
      <c r="B960" s="52">
        <v>5.9271363449373254E-2</v>
      </c>
      <c r="C960" s="52">
        <v>0.29040847540227033</v>
      </c>
      <c r="D960" s="52">
        <v>0.46944168569374511</v>
      </c>
      <c r="E960" s="52">
        <v>0.19231343245654153</v>
      </c>
      <c r="F960" s="52">
        <v>9.9538329038165521E-2</v>
      </c>
      <c r="G960" s="52">
        <v>5.4693870652860022E-2</v>
      </c>
      <c r="H960" s="52">
        <v>0.11540826305030658</v>
      </c>
      <c r="I960" s="119">
        <v>304.46063803253702</v>
      </c>
    </row>
    <row r="961" spans="1:9" x14ac:dyDescent="0.3">
      <c r="A961" s="23">
        <v>943</v>
      </c>
      <c r="B961" s="52">
        <v>5.4061117762370672E-2</v>
      </c>
      <c r="C961" s="52">
        <v>0.31200555382540168</v>
      </c>
      <c r="D961" s="52">
        <v>0.5466797980732494</v>
      </c>
      <c r="E961" s="52">
        <v>0.18480929467354645</v>
      </c>
      <c r="F961" s="52">
        <v>8.0328391260127072E-2</v>
      </c>
      <c r="G961" s="52">
        <v>6.0946285058817079E-2</v>
      </c>
      <c r="H961" s="52">
        <v>9.0917602256495575E-2</v>
      </c>
      <c r="I961" s="119">
        <v>1153.9212979163663</v>
      </c>
    </row>
    <row r="962" spans="1:9" x14ac:dyDescent="0.3">
      <c r="A962" s="23">
        <v>944</v>
      </c>
      <c r="B962" s="52">
        <v>7.1890377807275044E-2</v>
      </c>
      <c r="C962" s="52">
        <v>0.28656742033035515</v>
      </c>
      <c r="D962" s="52">
        <v>0.5187865589072731</v>
      </c>
      <c r="E962" s="52">
        <v>0.19133845879571737</v>
      </c>
      <c r="F962" s="52">
        <v>8.9029475427440205E-2</v>
      </c>
      <c r="G962" s="52">
        <v>3.2216792178030272E-2</v>
      </c>
      <c r="H962" s="52">
        <v>8.3844513634823675E-2</v>
      </c>
      <c r="I962" s="119">
        <v>231.29473144285936</v>
      </c>
    </row>
    <row r="963" spans="1:9" x14ac:dyDescent="0.3">
      <c r="A963" s="23">
        <v>945</v>
      </c>
      <c r="B963" s="52">
        <v>6.2627455920703165E-2</v>
      </c>
      <c r="C963" s="52">
        <v>0.25161361040224628</v>
      </c>
      <c r="D963" s="52">
        <v>0.45318218264763049</v>
      </c>
      <c r="E963" s="52">
        <v>0.20650636660862443</v>
      </c>
      <c r="F963" s="52">
        <v>9.9438299603240882E-2</v>
      </c>
      <c r="G963" s="52">
        <v>6.8598730582641307E-2</v>
      </c>
      <c r="H963" s="52">
        <v>0.11010234769558422</v>
      </c>
      <c r="I963" s="119">
        <v>336.3743563071443</v>
      </c>
    </row>
    <row r="964" spans="1:9" x14ac:dyDescent="0.3">
      <c r="A964" s="23">
        <v>946</v>
      </c>
      <c r="B964" s="52">
        <v>5.5192980612094246E-2</v>
      </c>
      <c r="C964" s="52">
        <v>0.27891329109278828</v>
      </c>
      <c r="D964" s="52">
        <v>0.60528372676623965</v>
      </c>
      <c r="E964" s="52">
        <v>0.21142545317538797</v>
      </c>
      <c r="F964" s="52">
        <v>0.10404639921373469</v>
      </c>
      <c r="G964" s="52">
        <v>6.1402019697409417E-2</v>
      </c>
      <c r="H964" s="52">
        <v>0.11623562686417946</v>
      </c>
      <c r="I964" s="119">
        <v>270.23461777929884</v>
      </c>
    </row>
    <row r="965" spans="1:9" x14ac:dyDescent="0.3">
      <c r="A965" s="23">
        <v>947</v>
      </c>
      <c r="B965" s="52">
        <v>7.1661241809492432E-2</v>
      </c>
      <c r="C965" s="52">
        <v>0.29637644311864331</v>
      </c>
      <c r="D965" s="52">
        <v>0.40974989429362779</v>
      </c>
      <c r="E965" s="52">
        <v>0.20405000388345665</v>
      </c>
      <c r="F965" s="52">
        <v>9.3524039217534286E-2</v>
      </c>
      <c r="G965" s="52">
        <v>5.9780232854408727E-2</v>
      </c>
      <c r="H965" s="52">
        <v>0.12059942906136613</v>
      </c>
      <c r="I965" s="119">
        <v>539.23737900837966</v>
      </c>
    </row>
    <row r="966" spans="1:9" x14ac:dyDescent="0.3">
      <c r="A966" s="23">
        <v>948</v>
      </c>
      <c r="B966" s="52">
        <v>5.3275948035468382E-2</v>
      </c>
      <c r="C966" s="52">
        <v>0.27328065971940085</v>
      </c>
      <c r="D966" s="52">
        <v>0.5675611758038388</v>
      </c>
      <c r="E966" s="52">
        <v>0.16291278420955996</v>
      </c>
      <c r="F966" s="52">
        <v>9.4261713018136517E-2</v>
      </c>
      <c r="G966" s="52">
        <v>6.1196444030044365E-2</v>
      </c>
      <c r="H966" s="52">
        <v>0.10943579635398179</v>
      </c>
      <c r="I966" s="119">
        <v>391.64097062439379</v>
      </c>
    </row>
    <row r="967" spans="1:9" x14ac:dyDescent="0.3">
      <c r="A967" s="23">
        <v>949</v>
      </c>
      <c r="B967" s="52">
        <v>6.3334786879154295E-2</v>
      </c>
      <c r="C967" s="52">
        <v>0.27448647173260238</v>
      </c>
      <c r="D967" s="52">
        <v>0.42941231042119521</v>
      </c>
      <c r="E967" s="52">
        <v>0.19789749006104049</v>
      </c>
      <c r="F967" s="52">
        <v>9.6940445817025211E-2</v>
      </c>
      <c r="G967" s="52">
        <v>4.1799951855120893E-2</v>
      </c>
      <c r="H967" s="52">
        <v>0.10083872139855918</v>
      </c>
      <c r="I967" s="119">
        <v>178.51244361941048</v>
      </c>
    </row>
    <row r="968" spans="1:9" x14ac:dyDescent="0.3">
      <c r="A968" s="23">
        <v>950</v>
      </c>
      <c r="B968" s="52">
        <v>5.9442553651277964E-2</v>
      </c>
      <c r="C968" s="52">
        <v>0.26116248419098093</v>
      </c>
      <c r="D968" s="52">
        <v>0.49394980147342182</v>
      </c>
      <c r="E968" s="52">
        <v>0.18224528629479508</v>
      </c>
      <c r="F968" s="52">
        <v>0.10092271242094233</v>
      </c>
      <c r="G968" s="52">
        <v>4.6994990691521805E-2</v>
      </c>
      <c r="H968" s="52">
        <v>9.7871656529243636E-2</v>
      </c>
      <c r="I968" s="119">
        <v>134.33118522424729</v>
      </c>
    </row>
    <row r="969" spans="1:9" x14ac:dyDescent="0.3">
      <c r="A969" s="23">
        <v>951</v>
      </c>
      <c r="B969" s="52">
        <v>6.767062617972959E-2</v>
      </c>
      <c r="C969" s="52">
        <v>0.29451845495425433</v>
      </c>
      <c r="D969" s="52">
        <v>0.52166855809737056</v>
      </c>
      <c r="E969" s="52">
        <v>0.16993899026013176</v>
      </c>
      <c r="F969" s="52">
        <v>8.9151613152050946E-2</v>
      </c>
      <c r="G969" s="52">
        <v>4.2661560217512641E-2</v>
      </c>
      <c r="H969" s="52">
        <v>0.11271009901854864</v>
      </c>
      <c r="I969" s="119">
        <v>340.16012364564347</v>
      </c>
    </row>
    <row r="970" spans="1:9" x14ac:dyDescent="0.3">
      <c r="A970" s="23">
        <v>952</v>
      </c>
      <c r="B970" s="52">
        <v>5.8861492400374096E-2</v>
      </c>
      <c r="C970" s="52">
        <v>0.30215877743932884</v>
      </c>
      <c r="D970" s="52">
        <v>0.57426029403579437</v>
      </c>
      <c r="E970" s="52">
        <v>0.20466378042756206</v>
      </c>
      <c r="F970" s="52">
        <v>0.10460231989265394</v>
      </c>
      <c r="G970" s="52">
        <v>6.8056243585825474E-2</v>
      </c>
      <c r="H970" s="52">
        <v>0.11261825199973616</v>
      </c>
      <c r="I970" s="119">
        <v>448.11503594209671</v>
      </c>
    </row>
    <row r="971" spans="1:9" x14ac:dyDescent="0.3">
      <c r="A971" s="23">
        <v>953</v>
      </c>
      <c r="B971" s="52">
        <v>4.7320888497226904E-2</v>
      </c>
      <c r="C971" s="52">
        <v>0.29461048755271613</v>
      </c>
      <c r="D971" s="52">
        <v>0.68152742929892463</v>
      </c>
      <c r="E971" s="52">
        <v>0.19720891820775904</v>
      </c>
      <c r="F971" s="52">
        <v>9.8667690219268564E-2</v>
      </c>
      <c r="G971" s="52">
        <v>6.8103131161173003E-2</v>
      </c>
      <c r="H971" s="52">
        <v>0.10184697504218465</v>
      </c>
      <c r="I971" s="119">
        <v>512.95747208033458</v>
      </c>
    </row>
    <row r="972" spans="1:9" x14ac:dyDescent="0.3">
      <c r="A972" s="23">
        <v>954</v>
      </c>
      <c r="B972" s="52">
        <v>6.7098786422692042E-2</v>
      </c>
      <c r="C972" s="52">
        <v>0.29978925494022457</v>
      </c>
      <c r="D972" s="52">
        <v>0.60980542372654734</v>
      </c>
      <c r="E972" s="52">
        <v>0.19399642096714226</v>
      </c>
      <c r="F972" s="52">
        <v>8.8862790608148778E-2</v>
      </c>
      <c r="G972" s="52">
        <v>5.5015173691720515E-2</v>
      </c>
      <c r="H972" s="52">
        <v>0.11783619645452745</v>
      </c>
      <c r="I972" s="119">
        <v>552.95804176092122</v>
      </c>
    </row>
    <row r="973" spans="1:9" x14ac:dyDescent="0.3">
      <c r="A973" s="23">
        <v>955</v>
      </c>
      <c r="B973" s="52">
        <v>5.448209500989646E-2</v>
      </c>
      <c r="C973" s="52">
        <v>0.29616712875062978</v>
      </c>
      <c r="D973" s="52">
        <v>0.56691034301378607</v>
      </c>
      <c r="E973" s="52">
        <v>0.18122387958338101</v>
      </c>
      <c r="F973" s="52">
        <v>9.2441659062217518E-2</v>
      </c>
      <c r="G973" s="52">
        <v>4.8011541053984197E-2</v>
      </c>
      <c r="H973" s="52">
        <v>9.5419204055300008E-2</v>
      </c>
      <c r="I973" s="119">
        <v>333.26340655073545</v>
      </c>
    </row>
    <row r="974" spans="1:9" x14ac:dyDescent="0.3">
      <c r="A974" s="23">
        <v>956</v>
      </c>
      <c r="B974" s="52">
        <v>7.2943589273775866E-2</v>
      </c>
      <c r="C974" s="52">
        <v>0.29042454898283177</v>
      </c>
      <c r="D974" s="52">
        <v>0.52876585923580977</v>
      </c>
      <c r="E974" s="52">
        <v>0.19604297973955448</v>
      </c>
      <c r="F974" s="52">
        <v>8.1088131956606843E-2</v>
      </c>
      <c r="G974" s="52">
        <v>5.6131138324558759E-2</v>
      </c>
      <c r="H974" s="52">
        <v>0.11575671122144657</v>
      </c>
      <c r="I974" s="119">
        <v>798.68638570566588</v>
      </c>
    </row>
    <row r="975" spans="1:9" x14ac:dyDescent="0.3">
      <c r="A975" s="23">
        <v>957</v>
      </c>
      <c r="B975" s="52">
        <v>7.8864500145820332E-2</v>
      </c>
      <c r="C975" s="52">
        <v>0.27204708266598449</v>
      </c>
      <c r="D975" s="52">
        <v>0.54552316833560599</v>
      </c>
      <c r="E975" s="52">
        <v>0.17498998875145819</v>
      </c>
      <c r="F975" s="52">
        <v>9.4194802125202218E-2</v>
      </c>
      <c r="G975" s="52">
        <v>5.0872423910897746E-2</v>
      </c>
      <c r="H975" s="52">
        <v>0.10267518221094851</v>
      </c>
      <c r="I975" s="119">
        <v>301.30648972447142</v>
      </c>
    </row>
    <row r="976" spans="1:9" x14ac:dyDescent="0.3">
      <c r="A976" s="23">
        <v>958</v>
      </c>
      <c r="B976" s="52">
        <v>5.7238674275753174E-2</v>
      </c>
      <c r="C976" s="52">
        <v>0.27794085308843686</v>
      </c>
      <c r="D976" s="52">
        <v>0.58584406109232723</v>
      </c>
      <c r="E976" s="52">
        <v>0.18716054489910439</v>
      </c>
      <c r="F976" s="52">
        <v>9.4505885435687997E-2</v>
      </c>
      <c r="G976" s="52">
        <v>4.124902448962877E-2</v>
      </c>
      <c r="H976" s="52">
        <v>9.8743333747284126E-2</v>
      </c>
      <c r="I976" s="119">
        <v>195.82633371359626</v>
      </c>
    </row>
    <row r="977" spans="1:9" x14ac:dyDescent="0.3">
      <c r="A977" s="23">
        <v>959</v>
      </c>
      <c r="B977" s="52">
        <v>6.4530212583450888E-2</v>
      </c>
      <c r="C977" s="52">
        <v>0.25716014371253765</v>
      </c>
      <c r="D977" s="52">
        <v>0.49505919552435856</v>
      </c>
      <c r="E977" s="52">
        <v>0.18965020054075438</v>
      </c>
      <c r="F977" s="52">
        <v>9.3361698916259034E-2</v>
      </c>
      <c r="G977" s="52">
        <v>5.4725580085948973E-2</v>
      </c>
      <c r="H977" s="52">
        <v>0.10628365373149504</v>
      </c>
      <c r="I977" s="119">
        <v>267.19300547618087</v>
      </c>
    </row>
    <row r="978" spans="1:9" x14ac:dyDescent="0.3">
      <c r="A978" s="23">
        <v>960</v>
      </c>
      <c r="B978" s="52">
        <v>8.3165422096549452E-2</v>
      </c>
      <c r="C978" s="52">
        <v>0.29602182032671975</v>
      </c>
      <c r="D978" s="52">
        <v>0.54399119935076656</v>
      </c>
      <c r="E978" s="52">
        <v>0.17478467094544253</v>
      </c>
      <c r="F978" s="52">
        <v>9.723803043852583E-2</v>
      </c>
      <c r="G978" s="52">
        <v>7.585213767515564E-2</v>
      </c>
      <c r="H978" s="52">
        <v>0.1063694123131123</v>
      </c>
      <c r="I978" s="119">
        <v>979.88479647771078</v>
      </c>
    </row>
    <row r="979" spans="1:9" x14ac:dyDescent="0.3">
      <c r="A979" s="23">
        <v>961</v>
      </c>
      <c r="B979" s="52">
        <v>6.3345103495337229E-2</v>
      </c>
      <c r="C979" s="52">
        <v>0.2737213942237533</v>
      </c>
      <c r="D979" s="52">
        <v>0.63367337063598306</v>
      </c>
      <c r="E979" s="52">
        <v>0.17663472717239848</v>
      </c>
      <c r="F979" s="52">
        <v>0.10067924520726436</v>
      </c>
      <c r="G979" s="52">
        <v>4.7418321864285476E-2</v>
      </c>
      <c r="H979" s="52">
        <v>0.11345818264783161</v>
      </c>
      <c r="I979" s="119">
        <v>183.06853041776137</v>
      </c>
    </row>
    <row r="980" spans="1:9" x14ac:dyDescent="0.3">
      <c r="A980" s="23">
        <v>962</v>
      </c>
      <c r="B980" s="52">
        <v>5.6095068997087161E-2</v>
      </c>
      <c r="C980" s="52">
        <v>0.2563718542585593</v>
      </c>
      <c r="D980" s="52">
        <v>0.51105682605783542</v>
      </c>
      <c r="E980" s="52">
        <v>0.17137088023449737</v>
      </c>
      <c r="F980" s="52">
        <v>9.5915357148757527E-2</v>
      </c>
      <c r="G980" s="52">
        <v>5.7998506935360329E-2</v>
      </c>
      <c r="H980" s="52">
        <v>0.10372351347480011</v>
      </c>
      <c r="I980" s="119">
        <v>252.33773477805354</v>
      </c>
    </row>
    <row r="981" spans="1:9" x14ac:dyDescent="0.3">
      <c r="A981" s="23">
        <v>963</v>
      </c>
      <c r="B981" s="52">
        <v>7.8934357601563088E-2</v>
      </c>
      <c r="C981" s="52">
        <v>0.29045422848645625</v>
      </c>
      <c r="D981" s="52">
        <v>0.43635519135989687</v>
      </c>
      <c r="E981" s="52">
        <v>0.18497699197730205</v>
      </c>
      <c r="F981" s="52">
        <v>9.7439116811439228E-2</v>
      </c>
      <c r="G981" s="52">
        <v>6.9679096387948045E-2</v>
      </c>
      <c r="H981" s="52">
        <v>9.8927553500469251E-2</v>
      </c>
      <c r="I981" s="119">
        <v>668.62292676728657</v>
      </c>
    </row>
    <row r="982" spans="1:9" x14ac:dyDescent="0.3">
      <c r="A982" s="23">
        <v>964</v>
      </c>
      <c r="B982" s="52">
        <v>5.2964528544072582E-2</v>
      </c>
      <c r="C982" s="52">
        <v>0.29195593661650326</v>
      </c>
      <c r="D982" s="52">
        <v>0.43562174337152126</v>
      </c>
      <c r="E982" s="52">
        <v>0.20610656384037462</v>
      </c>
      <c r="F982" s="52">
        <v>8.2793092033506044E-2</v>
      </c>
      <c r="G982" s="52">
        <v>4.4610055588066716E-2</v>
      </c>
      <c r="H982" s="52">
        <v>9.5429534679658659E-2</v>
      </c>
      <c r="I982" s="119">
        <v>416.11042734200822</v>
      </c>
    </row>
    <row r="983" spans="1:9" x14ac:dyDescent="0.3">
      <c r="A983" s="23">
        <v>965</v>
      </c>
      <c r="B983" s="52">
        <v>5.6641518220539533E-2</v>
      </c>
      <c r="C983" s="52">
        <v>0.27100299233561925</v>
      </c>
      <c r="D983" s="52">
        <v>0.61183997258179978</v>
      </c>
      <c r="E983" s="52">
        <v>0.20186048788840558</v>
      </c>
      <c r="F983" s="52">
        <v>9.6556013765861051E-2</v>
      </c>
      <c r="G983" s="52">
        <v>4.6609826360846977E-2</v>
      </c>
      <c r="H983" s="52">
        <v>0.11034939533706212</v>
      </c>
      <c r="I983" s="119">
        <v>193.66891292072225</v>
      </c>
    </row>
    <row r="984" spans="1:9" x14ac:dyDescent="0.3">
      <c r="A984" s="23">
        <v>966</v>
      </c>
      <c r="B984" s="52">
        <v>6.1265876120279589E-2</v>
      </c>
      <c r="C984" s="52">
        <v>0.29029607450568995</v>
      </c>
      <c r="D984" s="52">
        <v>0.72788574267445827</v>
      </c>
      <c r="E984" s="52">
        <v>0.19689783082340398</v>
      </c>
      <c r="F984" s="52">
        <v>9.5206819073678881E-2</v>
      </c>
      <c r="G984" s="52">
        <v>5.7850774176744169E-2</v>
      </c>
      <c r="H984" s="52">
        <v>9.3078187297178983E-2</v>
      </c>
      <c r="I984" s="119">
        <v>413.73413053658476</v>
      </c>
    </row>
    <row r="985" spans="1:9" x14ac:dyDescent="0.3">
      <c r="A985" s="23">
        <v>967</v>
      </c>
      <c r="B985" s="52">
        <v>5.6167509795344427E-2</v>
      </c>
      <c r="C985" s="52">
        <v>0.28199019318066637</v>
      </c>
      <c r="D985" s="52">
        <v>0.60924765720452134</v>
      </c>
      <c r="E985" s="52">
        <v>0.17672067904858471</v>
      </c>
      <c r="F985" s="52">
        <v>9.4041587010700534E-2</v>
      </c>
      <c r="G985" s="52">
        <v>7.5093310692002355E-2</v>
      </c>
      <c r="H985" s="52">
        <v>0.10956009603179467</v>
      </c>
      <c r="I985" s="119">
        <v>895.76071293241569</v>
      </c>
    </row>
    <row r="986" spans="1:9" x14ac:dyDescent="0.3">
      <c r="A986" s="23">
        <v>968</v>
      </c>
      <c r="B986" s="52">
        <v>6.6490781279809785E-2</v>
      </c>
      <c r="C986" s="52">
        <v>0.28133599892258987</v>
      </c>
      <c r="D986" s="52">
        <v>0.50860044844454944</v>
      </c>
      <c r="E986" s="52">
        <v>0.1838326073456113</v>
      </c>
      <c r="F986" s="52">
        <v>9.9512175523739435E-2</v>
      </c>
      <c r="G986" s="52">
        <v>5.1972807281051317E-2</v>
      </c>
      <c r="H986" s="52">
        <v>0.10545393569111991</v>
      </c>
      <c r="I986" s="119">
        <v>260.35978004500311</v>
      </c>
    </row>
    <row r="987" spans="1:9" x14ac:dyDescent="0.3">
      <c r="A987" s="23">
        <v>969</v>
      </c>
      <c r="B987" s="52">
        <v>6.1633755064651026E-2</v>
      </c>
      <c r="C987" s="52">
        <v>0.27886864872790124</v>
      </c>
      <c r="D987" s="52">
        <v>0.59291783464975967</v>
      </c>
      <c r="E987" s="52">
        <v>0.16546926490593802</v>
      </c>
      <c r="F987" s="52">
        <v>8.1219691375127717E-2</v>
      </c>
      <c r="G987" s="52">
        <v>5.2254507437029189E-2</v>
      </c>
      <c r="H987" s="52">
        <v>0.12258876947065356</v>
      </c>
      <c r="I987" s="119">
        <v>561.89835560947199</v>
      </c>
    </row>
    <row r="988" spans="1:9" x14ac:dyDescent="0.3">
      <c r="A988" s="23">
        <v>970</v>
      </c>
      <c r="B988" s="52">
        <v>5.3236646956753376E-2</v>
      </c>
      <c r="C988" s="52">
        <v>0.26341208707776725</v>
      </c>
      <c r="D988" s="52">
        <v>0.61298892636499525</v>
      </c>
      <c r="E988" s="52">
        <v>0.18843317248638372</v>
      </c>
      <c r="F988" s="52">
        <v>9.7149968804897291E-2</v>
      </c>
      <c r="G988" s="52">
        <v>6.1705939990221573E-2</v>
      </c>
      <c r="H988" s="52">
        <v>9.8920903556068973E-2</v>
      </c>
      <c r="I988" s="119">
        <v>305.2268604958112</v>
      </c>
    </row>
    <row r="989" spans="1:9" x14ac:dyDescent="0.3">
      <c r="A989" s="23">
        <v>971</v>
      </c>
      <c r="B989" s="52">
        <v>6.780546895918424E-2</v>
      </c>
      <c r="C989" s="52">
        <v>0.30238644822047672</v>
      </c>
      <c r="D989" s="52">
        <v>0.4744397668394798</v>
      </c>
      <c r="E989" s="52">
        <v>0.20769844589544451</v>
      </c>
      <c r="F989" s="52">
        <v>9.8914679733250049E-2</v>
      </c>
      <c r="G989" s="52">
        <v>5.0502388905597745E-2</v>
      </c>
      <c r="H989" s="52">
        <v>0.11159603556123179</v>
      </c>
      <c r="I989" s="119">
        <v>328.67453891787363</v>
      </c>
    </row>
    <row r="990" spans="1:9" x14ac:dyDescent="0.3">
      <c r="A990" s="23">
        <v>972</v>
      </c>
      <c r="B990" s="52">
        <v>8.3713206585341038E-2</v>
      </c>
      <c r="C990" s="52">
        <v>0.30836866548364222</v>
      </c>
      <c r="D990" s="52">
        <v>0.58152576705278536</v>
      </c>
      <c r="E990" s="52">
        <v>0.18891969259985533</v>
      </c>
      <c r="F990" s="52">
        <v>9.7694233520526294E-2</v>
      </c>
      <c r="G990" s="52">
        <v>5.6394979790309115E-2</v>
      </c>
      <c r="H990" s="52">
        <v>9.7542859076944377E-2</v>
      </c>
      <c r="I990" s="119">
        <v>482.14565938050822</v>
      </c>
    </row>
    <row r="991" spans="1:9" x14ac:dyDescent="0.3">
      <c r="A991" s="23">
        <v>973</v>
      </c>
      <c r="B991" s="52">
        <v>6.5808817930046032E-2</v>
      </c>
      <c r="C991" s="52">
        <v>0.283720760862675</v>
      </c>
      <c r="D991" s="52">
        <v>0.54599956593943677</v>
      </c>
      <c r="E991" s="52">
        <v>0.19931085154575598</v>
      </c>
      <c r="F991" s="52">
        <v>9.6994628705702773E-2</v>
      </c>
      <c r="G991" s="52">
        <v>5.0997488873544029E-2</v>
      </c>
      <c r="H991" s="52">
        <v>8.6654774957803007E-2</v>
      </c>
      <c r="I991" s="119">
        <v>286.7318257733516</v>
      </c>
    </row>
    <row r="992" spans="1:9" x14ac:dyDescent="0.3">
      <c r="A992" s="23">
        <v>974</v>
      </c>
      <c r="B992" s="52">
        <v>6.939196003271611E-2</v>
      </c>
      <c r="C992" s="52">
        <v>0.28331317225833524</v>
      </c>
      <c r="D992" s="52">
        <v>0.58151773181986943</v>
      </c>
      <c r="E992" s="52">
        <v>0.21159930775100538</v>
      </c>
      <c r="F992" s="52">
        <v>8.2689802973921617E-2</v>
      </c>
      <c r="G992" s="52">
        <v>3.4744368201972728E-2</v>
      </c>
      <c r="H992" s="52">
        <v>9.7288009537414316E-2</v>
      </c>
      <c r="I992" s="119">
        <v>300.20456820540528</v>
      </c>
    </row>
    <row r="993" spans="1:9" x14ac:dyDescent="0.3">
      <c r="A993" s="23">
        <v>975</v>
      </c>
      <c r="B993" s="52">
        <v>6.8081603926127721E-2</v>
      </c>
      <c r="C993" s="52">
        <v>0.30299485769923085</v>
      </c>
      <c r="D993" s="52">
        <v>0.43226795320830752</v>
      </c>
      <c r="E993" s="52">
        <v>0.17666717324695969</v>
      </c>
      <c r="F993" s="52">
        <v>0.10342931808940255</v>
      </c>
      <c r="G993" s="52">
        <v>5.0291122198879268E-2</v>
      </c>
      <c r="H993" s="52">
        <v>0.10751772061570689</v>
      </c>
      <c r="I993" s="119">
        <v>279.38216490884719</v>
      </c>
    </row>
    <row r="994" spans="1:9" x14ac:dyDescent="0.3">
      <c r="A994" s="23">
        <v>976</v>
      </c>
      <c r="B994" s="52">
        <v>6.1518915565125371E-2</v>
      </c>
      <c r="C994" s="52">
        <v>0.27594300066773669</v>
      </c>
      <c r="D994" s="52">
        <v>0.43195148883622042</v>
      </c>
      <c r="E994" s="52">
        <v>0.18216624146602733</v>
      </c>
      <c r="F994" s="52">
        <v>9.197967208283539E-2</v>
      </c>
      <c r="G994" s="52">
        <v>5.5355037513152294E-2</v>
      </c>
      <c r="H994" s="52">
        <v>0.10594113114555821</v>
      </c>
      <c r="I994" s="119">
        <v>370.93106409954601</v>
      </c>
    </row>
    <row r="995" spans="1:9" x14ac:dyDescent="0.3">
      <c r="A995" s="23">
        <v>977</v>
      </c>
      <c r="B995" s="52">
        <v>5.1943442481440269E-2</v>
      </c>
      <c r="C995" s="52">
        <v>0.27211626104807962</v>
      </c>
      <c r="D995" s="52">
        <v>0.61289950610098143</v>
      </c>
      <c r="E995" s="52">
        <v>0.18668090104839888</v>
      </c>
      <c r="F995" s="52">
        <v>8.8531123380755208E-2</v>
      </c>
      <c r="G995" s="52">
        <v>4.5021557617776625E-2</v>
      </c>
      <c r="H995" s="52">
        <v>0.10202213959341858</v>
      </c>
      <c r="I995" s="119">
        <v>258.29698403603777</v>
      </c>
    </row>
    <row r="996" spans="1:9" x14ac:dyDescent="0.3">
      <c r="A996" s="23">
        <v>978</v>
      </c>
      <c r="B996" s="52">
        <v>6.5840565716115379E-2</v>
      </c>
      <c r="C996" s="52">
        <v>0.29290195609143471</v>
      </c>
      <c r="D996" s="52">
        <v>0.48884053336536437</v>
      </c>
      <c r="E996" s="52">
        <v>0.20353044808249721</v>
      </c>
      <c r="F996" s="52">
        <v>0.10430041469427839</v>
      </c>
      <c r="G996" s="52">
        <v>6.0210117930191501E-2</v>
      </c>
      <c r="H996" s="52">
        <v>0.10656346807326345</v>
      </c>
      <c r="I996" s="119">
        <v>326.14457163191594</v>
      </c>
    </row>
    <row r="997" spans="1:9" x14ac:dyDescent="0.3">
      <c r="A997" s="23">
        <v>979</v>
      </c>
      <c r="B997" s="52">
        <v>7.1246186092856545E-2</v>
      </c>
      <c r="C997" s="52">
        <v>0.27841109658657304</v>
      </c>
      <c r="D997" s="52">
        <v>0.48329962788833147</v>
      </c>
      <c r="E997" s="52">
        <v>0.18035914290208263</v>
      </c>
      <c r="F997" s="52">
        <v>0.10080917609953979</v>
      </c>
      <c r="G997" s="52">
        <v>4.7148313375856239E-2</v>
      </c>
      <c r="H997" s="52">
        <v>0.11227476105597026</v>
      </c>
      <c r="I997" s="119">
        <v>207.47117989662331</v>
      </c>
    </row>
    <row r="998" spans="1:9" x14ac:dyDescent="0.3">
      <c r="A998" s="23">
        <v>980</v>
      </c>
      <c r="B998" s="52">
        <v>6.7479033818373904E-2</v>
      </c>
      <c r="C998" s="52">
        <v>0.28067865447854151</v>
      </c>
      <c r="D998" s="52">
        <v>0.54819832871628449</v>
      </c>
      <c r="E998" s="52">
        <v>0.20853581016534578</v>
      </c>
      <c r="F998" s="52">
        <v>0.10816170793160727</v>
      </c>
      <c r="G998" s="52">
        <v>3.9446272105893042E-2</v>
      </c>
      <c r="H998" s="52">
        <v>0.10454431482644096</v>
      </c>
      <c r="I998" s="119">
        <v>115.661466689517</v>
      </c>
    </row>
    <row r="999" spans="1:9" x14ac:dyDescent="0.3">
      <c r="A999" s="23">
        <v>981</v>
      </c>
      <c r="B999" s="52">
        <v>5.8642122025498025E-2</v>
      </c>
      <c r="C999" s="52">
        <v>0.27334435309324145</v>
      </c>
      <c r="D999" s="52">
        <v>0.47912331667559321</v>
      </c>
      <c r="E999" s="52">
        <v>0.20647354986765862</v>
      </c>
      <c r="F999" s="52">
        <v>9.7605691182399576E-2</v>
      </c>
      <c r="G999" s="52">
        <v>4.9783630754304295E-2</v>
      </c>
      <c r="H999" s="52">
        <v>9.8870000873399796E-2</v>
      </c>
      <c r="I999" s="119">
        <v>219.78319446115378</v>
      </c>
    </row>
    <row r="1000" spans="1:9" x14ac:dyDescent="0.3">
      <c r="A1000" s="23">
        <v>982</v>
      </c>
      <c r="B1000" s="52">
        <v>6.5708266136658894E-2</v>
      </c>
      <c r="C1000" s="52">
        <v>0.28826183468810901</v>
      </c>
      <c r="D1000" s="52">
        <v>0.48705110530418766</v>
      </c>
      <c r="E1000" s="52">
        <v>0.18412562659918036</v>
      </c>
      <c r="F1000" s="52">
        <v>0.10115786048004397</v>
      </c>
      <c r="G1000" s="52">
        <v>4.3857444936035744E-2</v>
      </c>
      <c r="H1000" s="52">
        <v>0.11329573154962448</v>
      </c>
      <c r="I1000" s="119">
        <v>203.34553496396177</v>
      </c>
    </row>
    <row r="1001" spans="1:9" x14ac:dyDescent="0.3">
      <c r="A1001" s="23">
        <v>983</v>
      </c>
      <c r="B1001" s="52">
        <v>6.2352670623702373E-2</v>
      </c>
      <c r="C1001" s="52">
        <v>0.29805755279930346</v>
      </c>
      <c r="D1001" s="52">
        <v>0.47679232353828505</v>
      </c>
      <c r="E1001" s="52">
        <v>0.20096398062626034</v>
      </c>
      <c r="F1001" s="52">
        <v>8.952546729862812E-2</v>
      </c>
      <c r="G1001" s="52">
        <v>5.4198788119331043E-2</v>
      </c>
      <c r="H1001" s="52">
        <v>0.1051800260208208</v>
      </c>
      <c r="I1001" s="119">
        <v>499.5631431007003</v>
      </c>
    </row>
    <row r="1002" spans="1:9" x14ac:dyDescent="0.3">
      <c r="A1002" s="23">
        <v>984</v>
      </c>
      <c r="B1002" s="52">
        <v>6.5656184187811328E-2</v>
      </c>
      <c r="C1002" s="52">
        <v>0.29412551738762927</v>
      </c>
      <c r="D1002" s="52">
        <v>0.64924320148071601</v>
      </c>
      <c r="E1002" s="52">
        <v>0.19456539132482484</v>
      </c>
      <c r="F1002" s="52">
        <v>0.10163680002021855</v>
      </c>
      <c r="G1002" s="52">
        <v>4.9092207696553578E-2</v>
      </c>
      <c r="H1002" s="52">
        <v>0.10494286787011065</v>
      </c>
      <c r="I1002" s="119">
        <v>254.76890706693297</v>
      </c>
    </row>
    <row r="1003" spans="1:9" x14ac:dyDescent="0.3">
      <c r="A1003" s="23">
        <v>985</v>
      </c>
      <c r="B1003" s="52">
        <v>6.404052191438056E-2</v>
      </c>
      <c r="C1003" s="52">
        <v>0.30138287721343215</v>
      </c>
      <c r="D1003" s="52">
        <v>0.60715356600280401</v>
      </c>
      <c r="E1003" s="52">
        <v>0.16935621238867585</v>
      </c>
      <c r="F1003" s="52">
        <v>9.9623983130083721E-2</v>
      </c>
      <c r="G1003" s="52">
        <v>7.2706988942929887E-2</v>
      </c>
      <c r="H1003" s="52">
        <v>0.10392140256435489</v>
      </c>
      <c r="I1003" s="119">
        <v>697.69400334672082</v>
      </c>
    </row>
    <row r="1004" spans="1:9" x14ac:dyDescent="0.3">
      <c r="A1004" s="23">
        <v>986</v>
      </c>
      <c r="B1004" s="52">
        <v>6.0631350576822916E-2</v>
      </c>
      <c r="C1004" s="52">
        <v>0.29328355125864908</v>
      </c>
      <c r="D1004" s="52">
        <v>0.44033090106490902</v>
      </c>
      <c r="E1004" s="52">
        <v>0.19019385003692546</v>
      </c>
      <c r="F1004" s="52">
        <v>9.1873114984771978E-2</v>
      </c>
      <c r="G1004" s="52">
        <v>4.5833337029427768E-2</v>
      </c>
      <c r="H1004" s="52">
        <v>0.11342921979852641</v>
      </c>
      <c r="I1004" s="119">
        <v>319.83063162522501</v>
      </c>
    </row>
    <row r="1005" spans="1:9" x14ac:dyDescent="0.3">
      <c r="A1005" s="23">
        <v>987</v>
      </c>
      <c r="B1005" s="52">
        <v>6.59852304261207E-2</v>
      </c>
      <c r="C1005" s="52">
        <v>0.26571254319570453</v>
      </c>
      <c r="D1005" s="52">
        <v>0.64508170192166359</v>
      </c>
      <c r="E1005" s="52">
        <v>0.1969291316284181</v>
      </c>
      <c r="F1005" s="52">
        <v>9.9300188747640586E-2</v>
      </c>
      <c r="G1005" s="52">
        <v>4.0510565794071293E-2</v>
      </c>
      <c r="H1005" s="52">
        <v>0.10459331664139866</v>
      </c>
      <c r="I1005" s="119">
        <v>131.45537929835416</v>
      </c>
    </row>
    <row r="1006" spans="1:9" x14ac:dyDescent="0.3">
      <c r="A1006" s="23">
        <v>988</v>
      </c>
      <c r="B1006" s="52">
        <v>5.3275070869484506E-2</v>
      </c>
      <c r="C1006" s="52">
        <v>0.27855431269702996</v>
      </c>
      <c r="D1006" s="52">
        <v>0.55052801737723756</v>
      </c>
      <c r="E1006" s="52">
        <v>0.19923874328230884</v>
      </c>
      <c r="F1006" s="52">
        <v>9.3938869344736844E-2</v>
      </c>
      <c r="G1006" s="52">
        <v>6.4472019973841097E-2</v>
      </c>
      <c r="H1006" s="52">
        <v>0.11107357157024404</v>
      </c>
      <c r="I1006" s="119">
        <v>488.76563043200576</v>
      </c>
    </row>
    <row r="1007" spans="1:9" x14ac:dyDescent="0.3">
      <c r="A1007" s="23">
        <v>989</v>
      </c>
      <c r="B1007" s="52">
        <v>7.381196351795849E-2</v>
      </c>
      <c r="C1007" s="52">
        <v>0.25835241333464176</v>
      </c>
      <c r="D1007" s="52">
        <v>0.4566971652275546</v>
      </c>
      <c r="E1007" s="52">
        <v>0.19652479615744819</v>
      </c>
      <c r="F1007" s="52">
        <v>9.6168963987882092E-2</v>
      </c>
      <c r="G1007" s="52">
        <v>5.5364049563105026E-2</v>
      </c>
      <c r="H1007" s="52">
        <v>8.9774475869145248E-2</v>
      </c>
      <c r="I1007" s="119">
        <v>259.6200534417805</v>
      </c>
    </row>
    <row r="1008" spans="1:9" x14ac:dyDescent="0.3">
      <c r="A1008" s="23">
        <v>990</v>
      </c>
      <c r="B1008" s="52">
        <v>7.6792692142844954E-2</v>
      </c>
      <c r="C1008" s="52">
        <v>0.29182546749276955</v>
      </c>
      <c r="D1008" s="52">
        <v>0.64219359228401551</v>
      </c>
      <c r="E1008" s="52">
        <v>0.18673481470067499</v>
      </c>
      <c r="F1008" s="52">
        <v>9.685775019665685E-2</v>
      </c>
      <c r="G1008" s="52">
        <v>4.4134144784229612E-2</v>
      </c>
      <c r="H1008" s="52">
        <v>9.8561971068321624E-2</v>
      </c>
      <c r="I1008" s="119">
        <v>275.16911700817946</v>
      </c>
    </row>
    <row r="1009" spans="1:9" x14ac:dyDescent="0.3">
      <c r="A1009" s="23">
        <v>991</v>
      </c>
      <c r="B1009" s="52">
        <v>7.0616505385076717E-2</v>
      </c>
      <c r="C1009" s="52">
        <v>0.27219934191728207</v>
      </c>
      <c r="D1009" s="52">
        <v>0.43044584149098158</v>
      </c>
      <c r="E1009" s="52">
        <v>0.20176805216800825</v>
      </c>
      <c r="F1009" s="52">
        <v>9.5021451562538939E-2</v>
      </c>
      <c r="G1009" s="52">
        <v>3.538116105752652E-2</v>
      </c>
      <c r="H1009" s="52">
        <v>9.6323182990666556E-2</v>
      </c>
      <c r="I1009" s="119">
        <v>158.10560452255629</v>
      </c>
    </row>
    <row r="1010" spans="1:9" x14ac:dyDescent="0.3">
      <c r="A1010" s="23">
        <v>992</v>
      </c>
      <c r="B1010" s="52">
        <v>6.3229840579953525E-2</v>
      </c>
      <c r="C1010" s="52">
        <v>0.27459620436156862</v>
      </c>
      <c r="D1010" s="52">
        <v>0.52003575763512311</v>
      </c>
      <c r="E1010" s="52">
        <v>0.17008738374592486</v>
      </c>
      <c r="F1010" s="52">
        <v>0.10490754568414055</v>
      </c>
      <c r="G1010" s="52">
        <v>4.738933272530102E-2</v>
      </c>
      <c r="H1010" s="52">
        <v>9.2883940875972598E-2</v>
      </c>
      <c r="I1010" s="119">
        <v>152.92259743333972</v>
      </c>
    </row>
    <row r="1011" spans="1:9" x14ac:dyDescent="0.3">
      <c r="A1011" s="23">
        <v>993</v>
      </c>
      <c r="B1011" s="52">
        <v>5.9922452699900257E-2</v>
      </c>
      <c r="C1011" s="52">
        <v>0.28641663852311561</v>
      </c>
      <c r="D1011" s="52">
        <v>0.51777673386449619</v>
      </c>
      <c r="E1011" s="52">
        <v>0.21000916540350384</v>
      </c>
      <c r="F1011" s="52">
        <v>9.8992987194041426E-2</v>
      </c>
      <c r="G1011" s="52">
        <v>4.5150295003886273E-2</v>
      </c>
      <c r="H1011" s="52">
        <v>0.11340667850142473</v>
      </c>
      <c r="I1011" s="119">
        <v>215.16916497349825</v>
      </c>
    </row>
    <row r="1012" spans="1:9" x14ac:dyDescent="0.3">
      <c r="A1012" s="23">
        <v>994</v>
      </c>
      <c r="B1012" s="52">
        <v>6.6465548466868432E-2</v>
      </c>
      <c r="C1012" s="52">
        <v>0.29531749946551589</v>
      </c>
      <c r="D1012" s="52">
        <v>0.70534169904913391</v>
      </c>
      <c r="E1012" s="52">
        <v>0.20808713965161932</v>
      </c>
      <c r="F1012" s="52">
        <v>9.6025384082818938E-2</v>
      </c>
      <c r="G1012" s="52">
        <v>2.6437852413640689E-2</v>
      </c>
      <c r="H1012" s="52">
        <v>9.9662804465488947E-2</v>
      </c>
      <c r="I1012" s="119">
        <v>163.53243055613527</v>
      </c>
    </row>
    <row r="1013" spans="1:9" x14ac:dyDescent="0.3">
      <c r="A1013" s="23">
        <v>995</v>
      </c>
      <c r="B1013" s="52">
        <v>4.936698494177099E-2</v>
      </c>
      <c r="C1013" s="52">
        <v>0.29747934764168193</v>
      </c>
      <c r="D1013" s="52">
        <v>0.54286316678807389</v>
      </c>
      <c r="E1013" s="52">
        <v>0.17951672800952359</v>
      </c>
      <c r="F1013" s="52">
        <v>9.1342001936611891E-2</v>
      </c>
      <c r="G1013" s="52">
        <v>5.7131633608115087E-2</v>
      </c>
      <c r="H1013" s="52">
        <v>0.10720190692967707</v>
      </c>
      <c r="I1013" s="119">
        <v>476.50377405017201</v>
      </c>
    </row>
    <row r="1014" spans="1:9" x14ac:dyDescent="0.3">
      <c r="A1014" s="23">
        <v>996</v>
      </c>
      <c r="B1014" s="52">
        <v>5.9142994331399419E-2</v>
      </c>
      <c r="C1014" s="52">
        <v>0.28843500603165823</v>
      </c>
      <c r="D1014" s="52">
        <v>0.46974728578766722</v>
      </c>
      <c r="E1014" s="52">
        <v>0.20078295231004406</v>
      </c>
      <c r="F1014" s="52">
        <v>9.9723422068178788E-2</v>
      </c>
      <c r="G1014" s="52">
        <v>5.842792400938511E-2</v>
      </c>
      <c r="H1014" s="52">
        <v>0.11495525770121087</v>
      </c>
      <c r="I1014" s="119">
        <v>336.99184261928582</v>
      </c>
    </row>
    <row r="1015" spans="1:9" x14ac:dyDescent="0.3">
      <c r="A1015" s="23">
        <v>997</v>
      </c>
      <c r="B1015" s="52">
        <v>5.746563298142103E-2</v>
      </c>
      <c r="C1015" s="52">
        <v>0.27238704567303135</v>
      </c>
      <c r="D1015" s="52">
        <v>0.48572510402668112</v>
      </c>
      <c r="E1015" s="52">
        <v>0.22272595033875126</v>
      </c>
      <c r="F1015" s="52">
        <v>9.4001104743649352E-2</v>
      </c>
      <c r="G1015" s="52">
        <v>3.4357104783876526E-2</v>
      </c>
      <c r="H1015" s="52">
        <v>0.11291302339533427</v>
      </c>
      <c r="I1015" s="119">
        <v>141.43538922970043</v>
      </c>
    </row>
    <row r="1016" spans="1:9" x14ac:dyDescent="0.3">
      <c r="A1016" s="23">
        <v>998</v>
      </c>
      <c r="B1016" s="52">
        <v>5.3602835413573656E-2</v>
      </c>
      <c r="C1016" s="52">
        <v>0.27649253513547845</v>
      </c>
      <c r="D1016" s="52">
        <v>0.53375977754402815</v>
      </c>
      <c r="E1016" s="52">
        <v>0.18205122726491793</v>
      </c>
      <c r="F1016" s="52">
        <v>9.0917457927117362E-2</v>
      </c>
      <c r="G1016" s="52">
        <v>6.2345246322838874E-2</v>
      </c>
      <c r="H1016" s="52">
        <v>0.1063763441583141</v>
      </c>
      <c r="I1016" s="119">
        <v>507.78040372640561</v>
      </c>
    </row>
    <row r="1017" spans="1:9" x14ac:dyDescent="0.3">
      <c r="A1017" s="23">
        <v>999</v>
      </c>
      <c r="B1017" s="52">
        <v>5.5988100455269842E-2</v>
      </c>
      <c r="C1017" s="52">
        <v>0.28492112114838353</v>
      </c>
      <c r="D1017" s="52">
        <v>0.61723346506460053</v>
      </c>
      <c r="E1017" s="52">
        <v>0.16168107232057463</v>
      </c>
      <c r="F1017" s="52">
        <v>9.7609595575571306E-2</v>
      </c>
      <c r="G1017" s="52">
        <v>4.958559725458421E-2</v>
      </c>
      <c r="H1017" s="52">
        <v>0.10460420333227423</v>
      </c>
      <c r="I1017" s="119">
        <v>252.02915190312834</v>
      </c>
    </row>
    <row r="1018" spans="1:9" x14ac:dyDescent="0.3">
      <c r="A1018" s="23">
        <v>1000</v>
      </c>
      <c r="B1018" s="52">
        <v>5.7952890902316236E-2</v>
      </c>
      <c r="C1018" s="52">
        <v>0.28123611382800318</v>
      </c>
      <c r="D1018" s="52">
        <v>0.51171702283743481</v>
      </c>
      <c r="E1018" s="52">
        <v>0.18475232405520353</v>
      </c>
      <c r="F1018" s="52">
        <v>9.2070526279222853E-2</v>
      </c>
      <c r="G1018" s="52">
        <v>4.774188653581693E-2</v>
      </c>
      <c r="H1018" s="52">
        <v>9.5458320800951901E-2</v>
      </c>
      <c r="I1018" s="119">
        <v>288.35273562293355</v>
      </c>
    </row>
    <row r="1019" spans="1:9" x14ac:dyDescent="0.3">
      <c r="A1019" s="23">
        <v>1001</v>
      </c>
      <c r="B1019" s="52">
        <v>5.3098508750960616E-2</v>
      </c>
      <c r="C1019" s="52">
        <v>0.30010224715095851</v>
      </c>
      <c r="D1019" s="52">
        <v>0.58361718802349849</v>
      </c>
      <c r="E1019" s="52">
        <v>0.18576179138301394</v>
      </c>
      <c r="F1019" s="52">
        <v>0.10435808162530963</v>
      </c>
      <c r="G1019" s="52">
        <v>5.9711354792358451E-2</v>
      </c>
      <c r="H1019" s="52">
        <v>0.11016949180236177</v>
      </c>
      <c r="I1019" s="119">
        <v>317.96394297309541</v>
      </c>
    </row>
    <row r="1020" spans="1:9" x14ac:dyDescent="0.3">
      <c r="A1020" s="23">
        <v>1002</v>
      </c>
      <c r="B1020" s="52">
        <v>6.265227111905175E-2</v>
      </c>
      <c r="C1020" s="52">
        <v>0.28232738200162588</v>
      </c>
      <c r="D1020" s="52">
        <v>0.44956968165374267</v>
      </c>
      <c r="E1020" s="52">
        <v>0.19927318506445049</v>
      </c>
      <c r="F1020" s="52">
        <v>0.1009958112408109</v>
      </c>
      <c r="G1020" s="52">
        <v>3.3857102976592168E-2</v>
      </c>
      <c r="H1020" s="52">
        <v>9.154877277655879E-2</v>
      </c>
      <c r="I1020" s="119">
        <v>129.35603622673318</v>
      </c>
    </row>
    <row r="1021" spans="1:9" x14ac:dyDescent="0.3">
      <c r="A1021" s="23">
        <v>1003</v>
      </c>
      <c r="B1021" s="52">
        <v>7.9979873187255704E-2</v>
      </c>
      <c r="C1021" s="52">
        <v>0.30745535821810577</v>
      </c>
      <c r="D1021" s="52">
        <v>0.52378919855565798</v>
      </c>
      <c r="E1021" s="52">
        <v>0.22111704887337186</v>
      </c>
      <c r="F1021" s="52">
        <v>9.6124230743317898E-2</v>
      </c>
      <c r="G1021" s="52">
        <v>4.34884724539044E-2</v>
      </c>
      <c r="H1021" s="52">
        <v>0.11612684982293056</v>
      </c>
      <c r="I1021" s="119">
        <v>336.87966966813707</v>
      </c>
    </row>
    <row r="1022" spans="1:9" x14ac:dyDescent="0.3">
      <c r="A1022" s="23">
        <v>1004</v>
      </c>
      <c r="B1022" s="52">
        <v>4.5242502717109251E-2</v>
      </c>
      <c r="C1022" s="52">
        <v>0.27834795109645488</v>
      </c>
      <c r="D1022" s="52">
        <v>0.44277745024300841</v>
      </c>
      <c r="E1022" s="52">
        <v>0.21618094674245963</v>
      </c>
      <c r="F1022" s="52">
        <v>9.4804144734806944E-2</v>
      </c>
      <c r="G1022" s="52">
        <v>4.0887519978680877E-2</v>
      </c>
      <c r="H1022" s="52">
        <v>0.1099554450745595</v>
      </c>
      <c r="I1022" s="119">
        <v>173.24615771061889</v>
      </c>
    </row>
    <row r="1023" spans="1:9" x14ac:dyDescent="0.3">
      <c r="A1023" s="23">
        <v>1005</v>
      </c>
      <c r="B1023" s="52">
        <v>4.7191810922336111E-2</v>
      </c>
      <c r="C1023" s="52">
        <v>0.29394680693057185</v>
      </c>
      <c r="D1023" s="52">
        <v>0.44611563805459953</v>
      </c>
      <c r="E1023" s="52">
        <v>0.18941081354745942</v>
      </c>
      <c r="F1023" s="52">
        <v>0.10227717780282101</v>
      </c>
      <c r="G1023" s="52">
        <v>3.7763472871304229E-2</v>
      </c>
      <c r="H1023" s="52">
        <v>9.8188777952378709E-2</v>
      </c>
      <c r="I1023" s="119">
        <v>147.75057444582063</v>
      </c>
    </row>
    <row r="1024" spans="1:9" x14ac:dyDescent="0.3">
      <c r="A1024" s="23">
        <v>1006</v>
      </c>
      <c r="B1024" s="52">
        <v>7.3727231775325808E-2</v>
      </c>
      <c r="C1024" s="52">
        <v>0.27547416176054906</v>
      </c>
      <c r="D1024" s="52">
        <v>0.46897420279291269</v>
      </c>
      <c r="E1024" s="52">
        <v>0.20009496267217702</v>
      </c>
      <c r="F1024" s="52">
        <v>9.4326624167159187E-2</v>
      </c>
      <c r="G1024" s="52">
        <v>6.0708184189140126E-2</v>
      </c>
      <c r="H1024" s="52">
        <v>0.11397769520569365</v>
      </c>
      <c r="I1024" s="119">
        <v>442.70788922828581</v>
      </c>
    </row>
    <row r="1025" spans="1:9" x14ac:dyDescent="0.3">
      <c r="A1025" s="23">
        <v>1007</v>
      </c>
      <c r="B1025" s="52">
        <v>6.4077443323546202E-2</v>
      </c>
      <c r="C1025" s="52">
        <v>0.27850477684692604</v>
      </c>
      <c r="D1025" s="52">
        <v>0.46797258105519679</v>
      </c>
      <c r="E1025" s="52">
        <v>0.18661135702478474</v>
      </c>
      <c r="F1025" s="52">
        <v>8.6575543494790866E-2</v>
      </c>
      <c r="G1025" s="52">
        <v>4.9796722582740399E-2</v>
      </c>
      <c r="H1025" s="52">
        <v>8.8499605025974315E-2</v>
      </c>
      <c r="I1025" s="119">
        <v>398.01111836137704</v>
      </c>
    </row>
    <row r="1026" spans="1:9" x14ac:dyDescent="0.3">
      <c r="A1026" s="23">
        <v>1008</v>
      </c>
      <c r="B1026" s="52">
        <v>6.6546052219697782E-2</v>
      </c>
      <c r="C1026" s="52">
        <v>0.28824563799814029</v>
      </c>
      <c r="D1026" s="52">
        <v>0.6249663617811988</v>
      </c>
      <c r="E1026" s="52">
        <v>0.20876547555720534</v>
      </c>
      <c r="F1026" s="52">
        <v>9.3595118099031094E-2</v>
      </c>
      <c r="G1026" s="52">
        <v>5.857176251025524E-2</v>
      </c>
      <c r="H1026" s="52">
        <v>0.1208244419354995</v>
      </c>
      <c r="I1026" s="119">
        <v>461.19215515577514</v>
      </c>
    </row>
    <row r="1027" spans="1:9" x14ac:dyDescent="0.3">
      <c r="A1027" s="23">
        <v>1009</v>
      </c>
      <c r="B1027" s="52">
        <v>6.9831504643764142E-2</v>
      </c>
      <c r="C1027" s="52">
        <v>0.27867152962628544</v>
      </c>
      <c r="D1027" s="52">
        <v>0.58147421918696862</v>
      </c>
      <c r="E1027" s="52">
        <v>0.17837387462248522</v>
      </c>
      <c r="F1027" s="52">
        <v>9.0672130018369254E-2</v>
      </c>
      <c r="G1027" s="52">
        <v>4.9687382652100737E-2</v>
      </c>
      <c r="H1027" s="52">
        <v>0.1189428568969966</v>
      </c>
      <c r="I1027" s="119">
        <v>344.17670494043227</v>
      </c>
    </row>
    <row r="1028" spans="1:9" x14ac:dyDescent="0.3">
      <c r="A1028" s="23">
        <v>1010</v>
      </c>
      <c r="B1028" s="52">
        <v>5.7289753975183343E-2</v>
      </c>
      <c r="C1028" s="52">
        <v>0.30230529538452133</v>
      </c>
      <c r="D1028" s="52">
        <v>0.49446130195643695</v>
      </c>
      <c r="E1028" s="52">
        <v>0.19578448762270398</v>
      </c>
      <c r="F1028" s="52">
        <v>0.1020052035777884</v>
      </c>
      <c r="G1028" s="52">
        <v>5.1598450478984106E-2</v>
      </c>
      <c r="H1028" s="52">
        <v>0.10378542452223771</v>
      </c>
      <c r="I1028" s="119">
        <v>281.92463119617054</v>
      </c>
    </row>
    <row r="1029" spans="1:9" x14ac:dyDescent="0.3">
      <c r="A1029" s="23">
        <v>1011</v>
      </c>
      <c r="B1029" s="52">
        <v>4.8818703153392075E-2</v>
      </c>
      <c r="C1029" s="52">
        <v>0.30656209041024313</v>
      </c>
      <c r="D1029" s="52">
        <v>0.49134407116940126</v>
      </c>
      <c r="E1029" s="52">
        <v>0.19343069847208927</v>
      </c>
      <c r="F1029" s="52">
        <v>9.2917345759180703E-2</v>
      </c>
      <c r="G1029" s="52">
        <v>5.5034121068266738E-2</v>
      </c>
      <c r="H1029" s="52">
        <v>0.11789717887532496</v>
      </c>
      <c r="I1029" s="119">
        <v>445.60302517003493</v>
      </c>
    </row>
    <row r="1030" spans="1:9" x14ac:dyDescent="0.3">
      <c r="A1030" s="23">
        <v>1012</v>
      </c>
      <c r="B1030" s="52">
        <v>5.2248238531509048E-2</v>
      </c>
      <c r="C1030" s="52">
        <v>0.28183860057180837</v>
      </c>
      <c r="D1030" s="52">
        <v>0.68842137197708286</v>
      </c>
      <c r="E1030" s="52">
        <v>0.18316632763401436</v>
      </c>
      <c r="F1030" s="52">
        <v>8.5062206585907837E-2</v>
      </c>
      <c r="G1030" s="52">
        <v>5.4263431300767953E-2</v>
      </c>
      <c r="H1030" s="52">
        <v>0.11502286942250256</v>
      </c>
      <c r="I1030" s="119">
        <v>496.29387507288385</v>
      </c>
    </row>
    <row r="1031" spans="1:9" x14ac:dyDescent="0.3">
      <c r="A1031" s="23">
        <v>1013</v>
      </c>
      <c r="B1031" s="52">
        <v>5.3796831995961816E-2</v>
      </c>
      <c r="C1031" s="52">
        <v>0.25484232003681051</v>
      </c>
      <c r="D1031" s="52">
        <v>0.57297765040835058</v>
      </c>
      <c r="E1031" s="52">
        <v>0.18491762574851453</v>
      </c>
      <c r="F1031" s="52">
        <v>8.9044010468989243E-2</v>
      </c>
      <c r="G1031" s="52">
        <v>4.6226144499572679E-2</v>
      </c>
      <c r="H1031" s="52">
        <v>0.10575651763782273</v>
      </c>
      <c r="I1031" s="119">
        <v>203.50750398582562</v>
      </c>
    </row>
    <row r="1032" spans="1:9" x14ac:dyDescent="0.3">
      <c r="A1032" s="23">
        <v>1014</v>
      </c>
      <c r="B1032" s="52">
        <v>6.1126057902968739E-2</v>
      </c>
      <c r="C1032" s="52">
        <v>0.29480122325061908</v>
      </c>
      <c r="D1032" s="52">
        <v>0.66121756192683856</v>
      </c>
      <c r="E1032" s="52">
        <v>0.19360681883817293</v>
      </c>
      <c r="F1032" s="52">
        <v>8.37584048378823E-2</v>
      </c>
      <c r="G1032" s="52">
        <v>4.0872591605974916E-2</v>
      </c>
      <c r="H1032" s="52">
        <v>0.10605966711013198</v>
      </c>
      <c r="I1032" s="119">
        <v>380.06787661166862</v>
      </c>
    </row>
    <row r="1033" spans="1:9" x14ac:dyDescent="0.3">
      <c r="A1033" s="23">
        <v>1015</v>
      </c>
      <c r="B1033" s="52">
        <v>6.3870210125500038E-2</v>
      </c>
      <c r="C1033" s="52">
        <v>0.2923914210495584</v>
      </c>
      <c r="D1033" s="52">
        <v>0.51971976321050373</v>
      </c>
      <c r="E1033" s="52">
        <v>0.18508341901376618</v>
      </c>
      <c r="F1033" s="52">
        <v>9.6969004996042149E-2</v>
      </c>
      <c r="G1033" s="52">
        <v>4.3477183945629029E-2</v>
      </c>
      <c r="H1033" s="52">
        <v>0.12580268301233913</v>
      </c>
      <c r="I1033" s="119">
        <v>246.56385067194415</v>
      </c>
    </row>
    <row r="1034" spans="1:9" x14ac:dyDescent="0.3">
      <c r="A1034" s="23">
        <v>1016</v>
      </c>
      <c r="B1034" s="52">
        <v>5.7596390986110066E-2</v>
      </c>
      <c r="C1034" s="52">
        <v>0.27751767699242724</v>
      </c>
      <c r="D1034" s="52">
        <v>0.52011291350500721</v>
      </c>
      <c r="E1034" s="52">
        <v>0.20216350336344141</v>
      </c>
      <c r="F1034" s="52">
        <v>9.2974379894951872E-2</v>
      </c>
      <c r="G1034" s="52">
        <v>4.0261502206832979E-2</v>
      </c>
      <c r="H1034" s="52">
        <v>0.10617695174929472</v>
      </c>
      <c r="I1034" s="119">
        <v>201.28702895501391</v>
      </c>
    </row>
    <row r="1035" spans="1:9" x14ac:dyDescent="0.3">
      <c r="A1035" s="23">
        <v>1017</v>
      </c>
      <c r="B1035" s="52">
        <v>6.7908775586334652E-2</v>
      </c>
      <c r="C1035" s="52">
        <v>0.28265685251064809</v>
      </c>
      <c r="D1035" s="52">
        <v>0.61128491878490498</v>
      </c>
      <c r="E1035" s="52">
        <v>0.201990099512802</v>
      </c>
      <c r="F1035" s="52">
        <v>0.10190701146127568</v>
      </c>
      <c r="G1035" s="52">
        <v>5.1383210233076543E-2</v>
      </c>
      <c r="H1035" s="52">
        <v>0.10669179116441485</v>
      </c>
      <c r="I1035" s="119">
        <v>237.63446943112237</v>
      </c>
    </row>
    <row r="1036" spans="1:9" x14ac:dyDescent="0.3">
      <c r="A1036" s="23">
        <v>1018</v>
      </c>
      <c r="B1036" s="52">
        <v>5.7403091861733466E-2</v>
      </c>
      <c r="C1036" s="52">
        <v>0.28544651926846948</v>
      </c>
      <c r="D1036" s="52">
        <v>0.70512216957251017</v>
      </c>
      <c r="E1036" s="52">
        <v>0.16773779193959754</v>
      </c>
      <c r="F1036" s="52">
        <v>9.4006111157815431E-2</v>
      </c>
      <c r="G1036" s="52">
        <v>4.3332094119609282E-2</v>
      </c>
      <c r="H1036" s="52">
        <v>0.11770517310442863</v>
      </c>
      <c r="I1036" s="119">
        <v>240.0622198266247</v>
      </c>
    </row>
    <row r="1037" spans="1:9" x14ac:dyDescent="0.3">
      <c r="A1037" s="23">
        <v>1019</v>
      </c>
      <c r="B1037" s="52">
        <v>5.6991625770816699E-2</v>
      </c>
      <c r="C1037" s="52">
        <v>0.30165921184708633</v>
      </c>
      <c r="D1037" s="52">
        <v>0.74578349791175014</v>
      </c>
      <c r="E1037" s="52">
        <v>0.18081662906084375</v>
      </c>
      <c r="F1037" s="52">
        <v>8.0844648655060206E-2</v>
      </c>
      <c r="G1037" s="52">
        <v>5.8782277014916097E-2</v>
      </c>
      <c r="H1037" s="52">
        <v>0.10595155872916338</v>
      </c>
      <c r="I1037" s="119">
        <v>934.56250212369696</v>
      </c>
    </row>
    <row r="1038" spans="1:9" x14ac:dyDescent="0.3">
      <c r="A1038" s="23">
        <v>1020</v>
      </c>
      <c r="B1038" s="52">
        <v>5.677835721810337E-2</v>
      </c>
      <c r="C1038" s="52">
        <v>0.28621348357222604</v>
      </c>
      <c r="D1038" s="52">
        <v>0.54227559040214968</v>
      </c>
      <c r="E1038" s="52">
        <v>0.18921042848414965</v>
      </c>
      <c r="F1038" s="52">
        <v>0.10213816536163417</v>
      </c>
      <c r="G1038" s="52">
        <v>5.8905600136692056E-2</v>
      </c>
      <c r="H1038" s="52">
        <v>0.11524465592392477</v>
      </c>
      <c r="I1038" s="119">
        <v>296.72881133542415</v>
      </c>
    </row>
    <row r="1039" spans="1:9" x14ac:dyDescent="0.3">
      <c r="A1039" s="23">
        <v>1021</v>
      </c>
      <c r="B1039" s="52">
        <v>6.0153291478850644E-2</v>
      </c>
      <c r="C1039" s="52">
        <v>0.29758161243418429</v>
      </c>
      <c r="D1039" s="52">
        <v>0.49253342914935061</v>
      </c>
      <c r="E1039" s="52">
        <v>0.1972656322086494</v>
      </c>
      <c r="F1039" s="52">
        <v>0.10106976113129637</v>
      </c>
      <c r="G1039" s="52">
        <v>4.8889702571354721E-2</v>
      </c>
      <c r="H1039" s="52">
        <v>0.11840148629060117</v>
      </c>
      <c r="I1039" s="119">
        <v>259.27451193977259</v>
      </c>
    </row>
    <row r="1040" spans="1:9" x14ac:dyDescent="0.3">
      <c r="A1040" s="23">
        <v>1022</v>
      </c>
      <c r="B1040" s="52">
        <v>7.0087183622844607E-2</v>
      </c>
      <c r="C1040" s="52">
        <v>0.28975863707747535</v>
      </c>
      <c r="D1040" s="52">
        <v>0.52135444193430336</v>
      </c>
      <c r="E1040" s="52">
        <v>0.17681458374444356</v>
      </c>
      <c r="F1040" s="52">
        <v>8.394852670789188E-2</v>
      </c>
      <c r="G1040" s="52">
        <v>6.153472607752776E-2</v>
      </c>
      <c r="H1040" s="52">
        <v>8.8476839657940065E-2</v>
      </c>
      <c r="I1040" s="119">
        <v>878.63729579025983</v>
      </c>
    </row>
    <row r="1041" spans="1:9" x14ac:dyDescent="0.3">
      <c r="A1041" s="23">
        <v>1023</v>
      </c>
      <c r="B1041" s="52">
        <v>5.9000805696359258E-2</v>
      </c>
      <c r="C1041" s="52">
        <v>0.2823804796702401</v>
      </c>
      <c r="D1041" s="52">
        <v>0.44878158538002311</v>
      </c>
      <c r="E1041" s="52">
        <v>0.18907727827048595</v>
      </c>
      <c r="F1041" s="52">
        <v>0.10335506911728129</v>
      </c>
      <c r="G1041" s="52">
        <v>5.9928456856579451E-2</v>
      </c>
      <c r="H1041" s="52">
        <v>0.11051929106586089</v>
      </c>
      <c r="I1041" s="119">
        <v>283.09495026960792</v>
      </c>
    </row>
    <row r="1042" spans="1:9" x14ac:dyDescent="0.3">
      <c r="A1042" s="23">
        <v>1024</v>
      </c>
      <c r="B1042" s="52">
        <v>7.7758207978429847E-2</v>
      </c>
      <c r="C1042" s="52">
        <v>0.27826362152246875</v>
      </c>
      <c r="D1042" s="52">
        <v>0.5133884953511012</v>
      </c>
      <c r="E1042" s="52">
        <v>0.18678200125933972</v>
      </c>
      <c r="F1042" s="52">
        <v>9.0769962362762718E-2</v>
      </c>
      <c r="G1042" s="52">
        <v>3.6603957110053591E-2</v>
      </c>
      <c r="H1042" s="52">
        <v>0.11048107281149039</v>
      </c>
      <c r="I1042" s="119">
        <v>230.42430255663399</v>
      </c>
    </row>
    <row r="1043" spans="1:9" x14ac:dyDescent="0.3">
      <c r="A1043" s="23">
        <v>1025</v>
      </c>
      <c r="B1043" s="52">
        <v>6.9252158926568039E-2</v>
      </c>
      <c r="C1043" s="52">
        <v>0.28490074483182043</v>
      </c>
      <c r="D1043" s="52">
        <v>0.4499121463779352</v>
      </c>
      <c r="E1043" s="52">
        <v>0.19094389844217011</v>
      </c>
      <c r="F1043" s="52">
        <v>0.10458945708030451</v>
      </c>
      <c r="G1043" s="52">
        <v>4.6286747720487458E-2</v>
      </c>
      <c r="H1043" s="52">
        <v>0.10347218887394621</v>
      </c>
      <c r="I1043" s="119">
        <v>187.61776204959699</v>
      </c>
    </row>
    <row r="1044" spans="1:9" x14ac:dyDescent="0.3">
      <c r="A1044" s="23">
        <v>1026</v>
      </c>
      <c r="B1044" s="52">
        <v>5.9624269856422371E-2</v>
      </c>
      <c r="C1044" s="52">
        <v>0.30263764888701239</v>
      </c>
      <c r="D1044" s="52">
        <v>0.49572511106258144</v>
      </c>
      <c r="E1044" s="52">
        <v>0.19728713995257638</v>
      </c>
      <c r="F1044" s="52">
        <v>9.3007683758263446E-2</v>
      </c>
      <c r="G1044" s="52">
        <v>4.537783453676144E-2</v>
      </c>
      <c r="H1044" s="52">
        <v>0.10628849484229713</v>
      </c>
      <c r="I1044" s="119">
        <v>331.641918136063</v>
      </c>
    </row>
    <row r="1045" spans="1:9" x14ac:dyDescent="0.3">
      <c r="A1045" s="23">
        <v>1027</v>
      </c>
      <c r="B1045" s="52">
        <v>6.7407048738646044E-2</v>
      </c>
      <c r="C1045" s="52">
        <v>0.28255907450228057</v>
      </c>
      <c r="D1045" s="52">
        <v>0.58399799451092871</v>
      </c>
      <c r="E1045" s="52">
        <v>0.17316166720763007</v>
      </c>
      <c r="F1045" s="52">
        <v>9.6947006928270685E-2</v>
      </c>
      <c r="G1045" s="52">
        <v>6.3738342126119854E-2</v>
      </c>
      <c r="H1045" s="52">
        <v>9.938328157093114E-2</v>
      </c>
      <c r="I1045" s="119">
        <v>461.92001341510303</v>
      </c>
    </row>
    <row r="1046" spans="1:9" x14ac:dyDescent="0.3">
      <c r="A1046" s="23">
        <v>1028</v>
      </c>
      <c r="B1046" s="52">
        <v>7.1086852929473435E-2</v>
      </c>
      <c r="C1046" s="52">
        <v>0.29065318618967007</v>
      </c>
      <c r="D1046" s="52">
        <v>0.44019613057500073</v>
      </c>
      <c r="E1046" s="52">
        <v>0.19040034965215841</v>
      </c>
      <c r="F1046" s="52">
        <v>9.7422962956657741E-2</v>
      </c>
      <c r="G1046" s="52">
        <v>4.1846050293489367E-2</v>
      </c>
      <c r="H1046" s="52">
        <v>0.11353145151748477</v>
      </c>
      <c r="I1046" s="119">
        <v>237.6454635399277</v>
      </c>
    </row>
    <row r="1047" spans="1:9" x14ac:dyDescent="0.3">
      <c r="A1047" s="23">
        <v>1029</v>
      </c>
      <c r="B1047" s="52">
        <v>6.1378690544621833E-2</v>
      </c>
      <c r="C1047" s="52">
        <v>0.27222724718708258</v>
      </c>
      <c r="D1047" s="52">
        <v>0.43666916729971816</v>
      </c>
      <c r="E1047" s="52">
        <v>0.17253989567606315</v>
      </c>
      <c r="F1047" s="52">
        <v>0.10200932660394554</v>
      </c>
      <c r="G1047" s="52">
        <v>3.9003144994857512E-2</v>
      </c>
      <c r="H1047" s="52">
        <v>9.957604993098837E-2</v>
      </c>
      <c r="I1047" s="119">
        <v>118.98195064532796</v>
      </c>
    </row>
    <row r="1048" spans="1:9" x14ac:dyDescent="0.3">
      <c r="A1048" s="23">
        <v>1030</v>
      </c>
      <c r="B1048" s="52">
        <v>7.2864204893657844E-2</v>
      </c>
      <c r="C1048" s="52">
        <v>0.25098726315808334</v>
      </c>
      <c r="D1048" s="52">
        <v>0.58559812707904457</v>
      </c>
      <c r="E1048" s="52">
        <v>0.20693631452854477</v>
      </c>
      <c r="F1048" s="52">
        <v>8.8436397332245856E-2</v>
      </c>
      <c r="G1048" s="52">
        <v>6.762757503212434E-2</v>
      </c>
      <c r="H1048" s="52">
        <v>0.10555576231237797</v>
      </c>
      <c r="I1048" s="119">
        <v>651.91384930522872</v>
      </c>
    </row>
    <row r="1049" spans="1:9" x14ac:dyDescent="0.3">
      <c r="A1049" s="23">
        <v>1031</v>
      </c>
      <c r="B1049" s="52">
        <v>5.5350913714536674E-2</v>
      </c>
      <c r="C1049" s="52">
        <v>0.28128336573021401</v>
      </c>
      <c r="D1049" s="52">
        <v>0.51882685251410854</v>
      </c>
      <c r="E1049" s="52">
        <v>0.1873933541043295</v>
      </c>
      <c r="F1049" s="52">
        <v>0.10016641936390487</v>
      </c>
      <c r="G1049" s="52">
        <v>5.2402078541276792E-2</v>
      </c>
      <c r="H1049" s="52">
        <v>0.10558679043158223</v>
      </c>
      <c r="I1049" s="119">
        <v>236.76210340651895</v>
      </c>
    </row>
    <row r="1050" spans="1:9" x14ac:dyDescent="0.3">
      <c r="A1050" s="23">
        <v>1032</v>
      </c>
      <c r="B1050" s="52">
        <v>6.3336467316664119E-2</v>
      </c>
      <c r="C1050" s="52">
        <v>0.27907090689120634</v>
      </c>
      <c r="D1050" s="52">
        <v>0.44334110699829182</v>
      </c>
      <c r="E1050" s="52">
        <v>0.19659354067015727</v>
      </c>
      <c r="F1050" s="52">
        <v>8.9125949339781629E-2</v>
      </c>
      <c r="G1050" s="52">
        <v>6.1193490260555018E-2</v>
      </c>
      <c r="H1050" s="52">
        <v>9.9180278901364702E-2</v>
      </c>
      <c r="I1050" s="119">
        <v>572.10942637557139</v>
      </c>
    </row>
    <row r="1051" spans="1:9" x14ac:dyDescent="0.3">
      <c r="A1051" s="23">
        <v>1033</v>
      </c>
      <c r="B1051" s="52">
        <v>5.2751192074199982E-2</v>
      </c>
      <c r="C1051" s="52">
        <v>0.29683839798925521</v>
      </c>
      <c r="D1051" s="52">
        <v>0.46947135993795697</v>
      </c>
      <c r="E1051" s="52">
        <v>0.18933080642149797</v>
      </c>
      <c r="F1051" s="52">
        <v>9.9886153657128399E-2</v>
      </c>
      <c r="G1051" s="52">
        <v>5.4022674055488204E-2</v>
      </c>
      <c r="H1051" s="52">
        <v>9.6935565187511563E-2</v>
      </c>
      <c r="I1051" s="119">
        <v>301.9673098495403</v>
      </c>
    </row>
    <row r="1052" spans="1:9" x14ac:dyDescent="0.3">
      <c r="A1052" s="23">
        <v>1034</v>
      </c>
      <c r="B1052" s="52">
        <v>6.6092312461062258E-2</v>
      </c>
      <c r="C1052" s="52">
        <v>0.27320662056104483</v>
      </c>
      <c r="D1052" s="52">
        <v>0.50611904443626521</v>
      </c>
      <c r="E1052" s="52">
        <v>0.20139213648756621</v>
      </c>
      <c r="F1052" s="52">
        <v>8.3744747171994385E-2</v>
      </c>
      <c r="G1052" s="52">
        <v>4.6417689447187209E-2</v>
      </c>
      <c r="H1052" s="52">
        <v>0.1074003094586959</v>
      </c>
      <c r="I1052" s="119">
        <v>376.97755023343893</v>
      </c>
    </row>
    <row r="1053" spans="1:9" x14ac:dyDescent="0.3">
      <c r="A1053" s="23">
        <v>1035</v>
      </c>
      <c r="B1053" s="52">
        <v>5.3123156963082126E-2</v>
      </c>
      <c r="C1053" s="52">
        <v>0.29695343378833799</v>
      </c>
      <c r="D1053" s="52">
        <v>0.54831248531551824</v>
      </c>
      <c r="E1053" s="52">
        <v>0.17336610663130195</v>
      </c>
      <c r="F1053" s="52">
        <v>8.5298698129704698E-2</v>
      </c>
      <c r="G1053" s="52">
        <v>4.9828059229121126E-2</v>
      </c>
      <c r="H1053" s="52">
        <v>8.7959962724209861E-2</v>
      </c>
      <c r="I1053" s="119">
        <v>476.92710598941898</v>
      </c>
    </row>
    <row r="1054" spans="1:9" x14ac:dyDescent="0.3">
      <c r="A1054" s="23">
        <v>1036</v>
      </c>
      <c r="B1054" s="52">
        <v>6.4299660098082204E-2</v>
      </c>
      <c r="C1054" s="52">
        <v>0.26663009331247051</v>
      </c>
      <c r="D1054" s="52">
        <v>0.69815388808973811</v>
      </c>
      <c r="E1054" s="52">
        <v>0.1849581164162305</v>
      </c>
      <c r="F1054" s="52">
        <v>9.7055560624181372E-2</v>
      </c>
      <c r="G1054" s="52">
        <v>5.7751643905898688E-2</v>
      </c>
      <c r="H1054" s="52">
        <v>9.4326850849605431E-2</v>
      </c>
      <c r="I1054" s="119">
        <v>291.28044247983172</v>
      </c>
    </row>
    <row r="1055" spans="1:9" x14ac:dyDescent="0.3">
      <c r="A1055" s="23">
        <v>1037</v>
      </c>
      <c r="B1055" s="52">
        <v>6.2553574885391428E-2</v>
      </c>
      <c r="C1055" s="52">
        <v>0.26272213204178402</v>
      </c>
      <c r="D1055" s="52">
        <v>0.50030359241280142</v>
      </c>
      <c r="E1055" s="52">
        <v>0.18754383016850346</v>
      </c>
      <c r="F1055" s="52">
        <v>9.0910452016921425E-2</v>
      </c>
      <c r="G1055" s="52">
        <v>4.3283236983750167E-2</v>
      </c>
      <c r="H1055" s="52">
        <v>0.10873216292168192</v>
      </c>
      <c r="I1055" s="119">
        <v>201.98076492950744</v>
      </c>
    </row>
    <row r="1056" spans="1:9" x14ac:dyDescent="0.3">
      <c r="A1056" s="23">
        <v>1038</v>
      </c>
      <c r="B1056" s="52">
        <v>5.3882530906518997E-2</v>
      </c>
      <c r="C1056" s="52">
        <v>0.28621226728940202</v>
      </c>
      <c r="D1056" s="52">
        <v>0.47031588209913533</v>
      </c>
      <c r="E1056" s="52">
        <v>0.19209528240762025</v>
      </c>
      <c r="F1056" s="52">
        <v>9.3532029887456916E-2</v>
      </c>
      <c r="G1056" s="52">
        <v>6.581868264902746E-2</v>
      </c>
      <c r="H1056" s="52">
        <v>0.11247915031137096</v>
      </c>
      <c r="I1056" s="119">
        <v>574.91653204301724</v>
      </c>
    </row>
    <row r="1057" spans="1:9" x14ac:dyDescent="0.3">
      <c r="A1057" s="23">
        <v>1039</v>
      </c>
      <c r="B1057" s="52">
        <v>6.6866064435872355E-2</v>
      </c>
      <c r="C1057" s="52">
        <v>0.30980618589640452</v>
      </c>
      <c r="D1057" s="52">
        <v>0.51685816620233327</v>
      </c>
      <c r="E1057" s="52">
        <v>0.17201488767411802</v>
      </c>
      <c r="F1057" s="52">
        <v>9.6957137897942872E-2</v>
      </c>
      <c r="G1057" s="52">
        <v>7.6338330430600107E-2</v>
      </c>
      <c r="H1057" s="52">
        <v>0.11587197828191667</v>
      </c>
      <c r="I1057" s="119">
        <v>1047.7015782158549</v>
      </c>
    </row>
    <row r="1058" spans="1:9" x14ac:dyDescent="0.3">
      <c r="A1058" s="23">
        <v>1040</v>
      </c>
      <c r="B1058" s="52">
        <v>5.1111271765550491E-2</v>
      </c>
      <c r="C1058" s="52">
        <v>0.30121009718553959</v>
      </c>
      <c r="D1058" s="52">
        <v>0.58297098071406617</v>
      </c>
      <c r="E1058" s="52">
        <v>0.18213923735019741</v>
      </c>
      <c r="F1058" s="52">
        <v>8.8437754970626475E-2</v>
      </c>
      <c r="G1058" s="52">
        <v>6.1868399885910239E-2</v>
      </c>
      <c r="H1058" s="52">
        <v>0.11183118243759646</v>
      </c>
      <c r="I1058" s="119">
        <v>697.69234251379692</v>
      </c>
    </row>
    <row r="1059" spans="1:9" x14ac:dyDescent="0.3">
      <c r="A1059" s="23">
        <v>1041</v>
      </c>
      <c r="B1059" s="52">
        <v>6.0409620158730359E-2</v>
      </c>
      <c r="C1059" s="52">
        <v>0.288420543727607</v>
      </c>
      <c r="D1059" s="52">
        <v>0.57594290597229492</v>
      </c>
      <c r="E1059" s="52">
        <v>0.19347468706113791</v>
      </c>
      <c r="F1059" s="52">
        <v>9.3990596237905732E-2</v>
      </c>
      <c r="G1059" s="52">
        <v>6.1220776594233278E-2</v>
      </c>
      <c r="H1059" s="52">
        <v>0.1019332980573</v>
      </c>
      <c r="I1059" s="119">
        <v>486.96648896929059</v>
      </c>
    </row>
    <row r="1060" spans="1:9" x14ac:dyDescent="0.3">
      <c r="A1060" s="23">
        <v>1042</v>
      </c>
      <c r="B1060" s="52">
        <v>6.3125153976665974E-2</v>
      </c>
      <c r="C1060" s="52">
        <v>0.27250248368449231</v>
      </c>
      <c r="D1060" s="52">
        <v>0.49082314735810528</v>
      </c>
      <c r="E1060" s="52">
        <v>0.202532508812789</v>
      </c>
      <c r="F1060" s="52">
        <v>9.2409632235407907E-2</v>
      </c>
      <c r="G1060" s="52">
        <v>5.2745356843394361E-2</v>
      </c>
      <c r="H1060" s="52">
        <v>9.748228950150481E-2</v>
      </c>
      <c r="I1060" s="119">
        <v>317.53080146006334</v>
      </c>
    </row>
    <row r="1061" spans="1:9" x14ac:dyDescent="0.3">
      <c r="A1061" s="23">
        <v>1043</v>
      </c>
      <c r="B1061" s="52">
        <v>6.4462779708969964E-2</v>
      </c>
      <c r="C1061" s="52">
        <v>0.30220136308981022</v>
      </c>
      <c r="D1061" s="52">
        <v>0.42991192132102812</v>
      </c>
      <c r="E1061" s="52">
        <v>0.19712485697142179</v>
      </c>
      <c r="F1061" s="52">
        <v>8.009082262311798E-2</v>
      </c>
      <c r="G1061" s="52">
        <v>4.7992852562043345E-2</v>
      </c>
      <c r="H1061" s="52">
        <v>0.1013977595395274</v>
      </c>
      <c r="I1061" s="119">
        <v>622.27120925577367</v>
      </c>
    </row>
    <row r="1062" spans="1:9" x14ac:dyDescent="0.3">
      <c r="A1062" s="23">
        <v>1044</v>
      </c>
      <c r="B1062" s="52">
        <v>5.4530872847215403E-2</v>
      </c>
      <c r="C1062" s="52">
        <v>0.29899316074556526</v>
      </c>
      <c r="D1062" s="52">
        <v>0.43499221464874005</v>
      </c>
      <c r="E1062" s="52">
        <v>0.19846613330273938</v>
      </c>
      <c r="F1062" s="52">
        <v>9.533659625304293E-2</v>
      </c>
      <c r="G1062" s="52">
        <v>5.6334505709966044E-2</v>
      </c>
      <c r="H1062" s="52">
        <v>0.1163013295718202</v>
      </c>
      <c r="I1062" s="119">
        <v>407.41109648582045</v>
      </c>
    </row>
    <row r="1063" spans="1:9" x14ac:dyDescent="0.3">
      <c r="A1063" s="23">
        <v>1045</v>
      </c>
      <c r="B1063" s="52">
        <v>5.2461835821259399E-2</v>
      </c>
      <c r="C1063" s="52">
        <v>0.29109423472008028</v>
      </c>
      <c r="D1063" s="52">
        <v>0.68488480526629336</v>
      </c>
      <c r="E1063" s="52">
        <v>0.1908090273180604</v>
      </c>
      <c r="F1063" s="52">
        <v>0.10249297921494428</v>
      </c>
      <c r="G1063" s="52">
        <v>4.0705963156047228E-2</v>
      </c>
      <c r="H1063" s="52">
        <v>0.11161984392826657</v>
      </c>
      <c r="I1063" s="119">
        <v>161.96927900669996</v>
      </c>
    </row>
    <row r="1064" spans="1:9" x14ac:dyDescent="0.3">
      <c r="A1064" s="23">
        <v>1046</v>
      </c>
      <c r="B1064" s="52">
        <v>5.628141401686354E-2</v>
      </c>
      <c r="C1064" s="52">
        <v>0.28526456377245951</v>
      </c>
      <c r="D1064" s="52">
        <v>0.52885991045304259</v>
      </c>
      <c r="E1064" s="52">
        <v>0.20166818995069205</v>
      </c>
      <c r="F1064" s="52">
        <v>8.3426125949840141E-2</v>
      </c>
      <c r="G1064" s="52">
        <v>4.6214909046279173E-2</v>
      </c>
      <c r="H1064" s="52">
        <v>0.1048730722464716</v>
      </c>
      <c r="I1064" s="119">
        <v>409.35270655298604</v>
      </c>
    </row>
    <row r="1065" spans="1:9" x14ac:dyDescent="0.3">
      <c r="A1065" s="23">
        <v>1047</v>
      </c>
      <c r="B1065" s="52">
        <v>7.6371524506758603E-2</v>
      </c>
      <c r="C1065" s="52">
        <v>0.27928087255640593</v>
      </c>
      <c r="D1065" s="52">
        <v>0.65535457809966324</v>
      </c>
      <c r="E1065" s="52">
        <v>0.2000211159946168</v>
      </c>
      <c r="F1065" s="52">
        <v>9.2112917969353905E-2</v>
      </c>
      <c r="G1065" s="52">
        <v>3.4851720021620507E-2</v>
      </c>
      <c r="H1065" s="52">
        <v>8.5585757786851818E-2</v>
      </c>
      <c r="I1065" s="119">
        <v>207.57692186751524</v>
      </c>
    </row>
    <row r="1066" spans="1:9" x14ac:dyDescent="0.3">
      <c r="A1066" s="23">
        <v>1048</v>
      </c>
      <c r="B1066" s="52">
        <v>7.2443024865750064E-2</v>
      </c>
      <c r="C1066" s="52">
        <v>0.28251728875040827</v>
      </c>
      <c r="D1066" s="52">
        <v>0.62604070651795485</v>
      </c>
      <c r="E1066" s="52">
        <v>0.19915864635496855</v>
      </c>
      <c r="F1066" s="52">
        <v>9.6149340788670198E-2</v>
      </c>
      <c r="G1066" s="52">
        <v>5.331500371185581E-2</v>
      </c>
      <c r="H1066" s="52">
        <v>0.11999707167579211</v>
      </c>
      <c r="I1066" s="119">
        <v>331.61555411757286</v>
      </c>
    </row>
    <row r="1067" spans="1:9" x14ac:dyDescent="0.3">
      <c r="A1067" s="23">
        <v>1049</v>
      </c>
      <c r="B1067" s="52">
        <v>5.9236610441339058E-2</v>
      </c>
      <c r="C1067" s="52">
        <v>0.2595740460536915</v>
      </c>
      <c r="D1067" s="52">
        <v>0.45217984126917987</v>
      </c>
      <c r="E1067" s="52">
        <v>0.18265702879807635</v>
      </c>
      <c r="F1067" s="52">
        <v>9.38824487252191E-2</v>
      </c>
      <c r="G1067" s="52">
        <v>5.5352088235505012E-2</v>
      </c>
      <c r="H1067" s="52">
        <v>8.3216270757686311E-2</v>
      </c>
      <c r="I1067" s="119">
        <v>267.69733481704037</v>
      </c>
    </row>
    <row r="1068" spans="1:9" x14ac:dyDescent="0.3">
      <c r="A1068" s="23">
        <v>1050</v>
      </c>
      <c r="B1068" s="52">
        <v>4.8594271549753425E-2</v>
      </c>
      <c r="C1068" s="52">
        <v>0.27800050979782248</v>
      </c>
      <c r="D1068" s="52">
        <v>0.50307100944881555</v>
      </c>
      <c r="E1068" s="52">
        <v>0.20322049930300537</v>
      </c>
      <c r="F1068" s="52">
        <v>8.7612954025500608E-2</v>
      </c>
      <c r="G1068" s="52">
        <v>6.1916583471689192E-2</v>
      </c>
      <c r="H1068" s="52">
        <v>9.3860215044446749E-2</v>
      </c>
      <c r="I1068" s="119">
        <v>586.82002963653247</v>
      </c>
    </row>
    <row r="1069" spans="1:9" x14ac:dyDescent="0.3">
      <c r="A1069" s="23">
        <v>1051</v>
      </c>
      <c r="B1069" s="52">
        <v>5.204088522925876E-2</v>
      </c>
      <c r="C1069" s="52">
        <v>0.30396175502979494</v>
      </c>
      <c r="D1069" s="52">
        <v>0.49635489136490846</v>
      </c>
      <c r="E1069" s="52">
        <v>0.18304596928846761</v>
      </c>
      <c r="F1069" s="52">
        <v>9.2001729657785775E-2</v>
      </c>
      <c r="G1069" s="52">
        <v>4.7687756956177378E-2</v>
      </c>
      <c r="H1069" s="52">
        <v>0.1138800454145554</v>
      </c>
      <c r="I1069" s="119">
        <v>357.83966986681969</v>
      </c>
    </row>
    <row r="1070" spans="1:9" x14ac:dyDescent="0.3">
      <c r="A1070" s="23">
        <v>1052</v>
      </c>
      <c r="B1070" s="52">
        <v>6.0341753227398556E-2</v>
      </c>
      <c r="C1070" s="52">
        <v>0.27712522701168724</v>
      </c>
      <c r="D1070" s="52">
        <v>0.58616473678678371</v>
      </c>
      <c r="E1070" s="52">
        <v>0.20190822994856855</v>
      </c>
      <c r="F1070" s="52">
        <v>0.1057355322414113</v>
      </c>
      <c r="G1070" s="52">
        <v>5.1076653632187413E-2</v>
      </c>
      <c r="H1070" s="52">
        <v>0.11661229743739515</v>
      </c>
      <c r="I1070" s="119">
        <v>172.21484742355059</v>
      </c>
    </row>
    <row r="1071" spans="1:9" x14ac:dyDescent="0.3">
      <c r="A1071" s="23">
        <v>1053</v>
      </c>
      <c r="B1071" s="52">
        <v>5.3427689465600857E-2</v>
      </c>
      <c r="C1071" s="52">
        <v>0.30293938570709616</v>
      </c>
      <c r="D1071" s="52">
        <v>0.48936690152951501</v>
      </c>
      <c r="E1071" s="52">
        <v>0.20807559223175698</v>
      </c>
      <c r="F1071" s="52">
        <v>9.885163139000061E-2</v>
      </c>
      <c r="G1071" s="52">
        <v>4.9500959896312036E-2</v>
      </c>
      <c r="H1071" s="52">
        <v>9.1400600286559885E-2</v>
      </c>
      <c r="I1071" s="119">
        <v>291.50288909815748</v>
      </c>
    </row>
    <row r="1072" spans="1:9" x14ac:dyDescent="0.3">
      <c r="A1072" s="23">
        <v>1054</v>
      </c>
      <c r="B1072" s="52">
        <v>5.9190073239703225E-2</v>
      </c>
      <c r="C1072" s="52">
        <v>0.24705565858960057</v>
      </c>
      <c r="D1072" s="52">
        <v>0.46405874875677106</v>
      </c>
      <c r="E1072" s="52">
        <v>0.18691876920235784</v>
      </c>
      <c r="F1072" s="52">
        <v>0.10179517207802055</v>
      </c>
      <c r="G1072" s="52">
        <v>4.196816473150692E-2</v>
      </c>
      <c r="H1072" s="52">
        <v>9.1543464554908999E-2</v>
      </c>
      <c r="I1072" s="119">
        <v>62.453362277421967</v>
      </c>
    </row>
    <row r="1073" spans="1:9" x14ac:dyDescent="0.3">
      <c r="A1073" s="23">
        <v>1055</v>
      </c>
      <c r="B1073" s="52">
        <v>6.4873040316956815E-2</v>
      </c>
      <c r="C1073" s="52">
        <v>0.27555869018813445</v>
      </c>
      <c r="D1073" s="52">
        <v>0.55094604684467408</v>
      </c>
      <c r="E1073" s="52">
        <v>0.18130836838112921</v>
      </c>
      <c r="F1073" s="52">
        <v>9.5247186599173084E-2</v>
      </c>
      <c r="G1073" s="52">
        <v>5.1659157891713776E-2</v>
      </c>
      <c r="H1073" s="52">
        <v>0.10389207459962416</v>
      </c>
      <c r="I1073" s="119">
        <v>282.71580300069456</v>
      </c>
    </row>
    <row r="1074" spans="1:9" x14ac:dyDescent="0.3">
      <c r="A1074" s="23">
        <v>1056</v>
      </c>
      <c r="B1074" s="52">
        <v>5.6777644033177178E-2</v>
      </c>
      <c r="C1074" s="52">
        <v>0.27249401486416169</v>
      </c>
      <c r="D1074" s="52">
        <v>0.61062421567095759</v>
      </c>
      <c r="E1074" s="52">
        <v>0.18591710862523683</v>
      </c>
      <c r="F1074" s="52">
        <v>0.10256942746531392</v>
      </c>
      <c r="G1074" s="52">
        <v>4.2755157402990338E-2</v>
      </c>
      <c r="H1074" s="52">
        <v>0.10472307981074339</v>
      </c>
      <c r="I1074" s="119">
        <v>128.67050370649997</v>
      </c>
    </row>
    <row r="1075" spans="1:9" x14ac:dyDescent="0.3">
      <c r="A1075" s="23">
        <v>1057</v>
      </c>
      <c r="B1075" s="52">
        <v>5.0208349104374314E-2</v>
      </c>
      <c r="C1075" s="52">
        <v>0.28628820773265257</v>
      </c>
      <c r="D1075" s="52">
        <v>0.4595572662900117</v>
      </c>
      <c r="E1075" s="52">
        <v>0.15696156824452964</v>
      </c>
      <c r="F1075" s="52">
        <v>9.7231861995708713E-2</v>
      </c>
      <c r="G1075" s="52">
        <v>4.8414981404700588E-2</v>
      </c>
      <c r="H1075" s="52">
        <v>0.11018074218772898</v>
      </c>
      <c r="I1075" s="119">
        <v>239.7039432028624</v>
      </c>
    </row>
    <row r="1076" spans="1:9" x14ac:dyDescent="0.3">
      <c r="A1076" s="23">
        <v>1058</v>
      </c>
      <c r="B1076" s="52">
        <v>5.4259286594055565E-2</v>
      </c>
      <c r="C1076" s="52">
        <v>0.28772015327785555</v>
      </c>
      <c r="D1076" s="52">
        <v>0.52216819339232479</v>
      </c>
      <c r="E1076" s="52">
        <v>0.20393618271735547</v>
      </c>
      <c r="F1076" s="52">
        <v>9.3023122165840286E-2</v>
      </c>
      <c r="G1076" s="52">
        <v>5.3953442615239822E-2</v>
      </c>
      <c r="H1076" s="52">
        <v>0.11464452501383079</v>
      </c>
      <c r="I1076" s="119">
        <v>366.09776653091052</v>
      </c>
    </row>
    <row r="1077" spans="1:9" x14ac:dyDescent="0.3">
      <c r="A1077" s="23">
        <v>1059</v>
      </c>
      <c r="B1077" s="52">
        <v>5.6402306565760216E-2</v>
      </c>
      <c r="C1077" s="52">
        <v>0.2958780261098003</v>
      </c>
      <c r="D1077" s="52">
        <v>0.44576699342218595</v>
      </c>
      <c r="E1077" s="52">
        <v>0.18102944859842307</v>
      </c>
      <c r="F1077" s="52">
        <v>9.7667871490009522E-2</v>
      </c>
      <c r="G1077" s="52">
        <v>4.4581063118380199E-2</v>
      </c>
      <c r="H1077" s="52">
        <v>0.10974275152132908</v>
      </c>
      <c r="I1077" s="119">
        <v>245.69192251144099</v>
      </c>
    </row>
    <row r="1078" spans="1:9" x14ac:dyDescent="0.3">
      <c r="A1078" s="23">
        <v>1060</v>
      </c>
      <c r="B1078" s="52">
        <v>5.2507752147800714E-2</v>
      </c>
      <c r="C1078" s="52">
        <v>0.300188486390708</v>
      </c>
      <c r="D1078" s="52">
        <v>0.54266225602773543</v>
      </c>
      <c r="E1078" s="52">
        <v>0.1876307374819772</v>
      </c>
      <c r="F1078" s="52">
        <v>0.10255629065037414</v>
      </c>
      <c r="G1078" s="52">
        <v>5.0551628851819158E-2</v>
      </c>
      <c r="H1078" s="52">
        <v>0.11652704608374104</v>
      </c>
      <c r="I1078" s="119">
        <v>251.76714756548461</v>
      </c>
    </row>
    <row r="1079" spans="1:9" x14ac:dyDescent="0.3">
      <c r="A1079" s="23">
        <v>1061</v>
      </c>
      <c r="B1079" s="52">
        <v>5.9039440008314334E-2</v>
      </c>
      <c r="C1079" s="52">
        <v>0.30267221845908865</v>
      </c>
      <c r="D1079" s="52">
        <v>0.5801702950047477</v>
      </c>
      <c r="E1079" s="52">
        <v>0.18927192671620963</v>
      </c>
      <c r="F1079" s="52">
        <v>9.4708862799770865E-2</v>
      </c>
      <c r="G1079" s="52">
        <v>6.1954073870943871E-2</v>
      </c>
      <c r="H1079" s="52">
        <v>0.1150049029704487</v>
      </c>
      <c r="I1079" s="119">
        <v>548.93312894586279</v>
      </c>
    </row>
    <row r="1080" spans="1:9" x14ac:dyDescent="0.3">
      <c r="A1080" s="23">
        <v>1062</v>
      </c>
      <c r="B1080" s="52">
        <v>4.4124629982407272E-2</v>
      </c>
      <c r="C1080" s="52">
        <v>0.28178766517432552</v>
      </c>
      <c r="D1080" s="52">
        <v>0.55434151609401194</v>
      </c>
      <c r="E1080" s="52">
        <v>0.17388304636727192</v>
      </c>
      <c r="F1080" s="52">
        <v>0.10394297504388431</v>
      </c>
      <c r="G1080" s="52">
        <v>3.8129450605487947E-2</v>
      </c>
      <c r="H1080" s="52">
        <v>0.10733999421150028</v>
      </c>
      <c r="I1080" s="119">
        <v>105.94734164056764</v>
      </c>
    </row>
    <row r="1081" spans="1:9" x14ac:dyDescent="0.3">
      <c r="A1081" s="23">
        <v>1063</v>
      </c>
      <c r="B1081" s="52">
        <v>8.6797003898729269E-2</v>
      </c>
      <c r="C1081" s="52">
        <v>0.29305947818031097</v>
      </c>
      <c r="D1081" s="52">
        <v>0.61948767131008364</v>
      </c>
      <c r="E1081" s="52">
        <v>0.18598286548060386</v>
      </c>
      <c r="F1081" s="52">
        <v>0.10011345228214877</v>
      </c>
      <c r="G1081" s="52">
        <v>6.6293295671263491E-2</v>
      </c>
      <c r="H1081" s="52">
        <v>0.10775335858096312</v>
      </c>
      <c r="I1081" s="119">
        <v>547.88108642183215</v>
      </c>
    </row>
    <row r="1082" spans="1:9" x14ac:dyDescent="0.3">
      <c r="A1082" s="23">
        <v>1064</v>
      </c>
      <c r="B1082" s="52">
        <v>5.5519881569804135E-2</v>
      </c>
      <c r="C1082" s="52">
        <v>0.27976730738230515</v>
      </c>
      <c r="D1082" s="52">
        <v>0.70903395483156761</v>
      </c>
      <c r="E1082" s="52">
        <v>0.17782689578605251</v>
      </c>
      <c r="F1082" s="52">
        <v>9.8981821979597234E-2</v>
      </c>
      <c r="G1082" s="52">
        <v>5.0100145859499561E-2</v>
      </c>
      <c r="H1082" s="52">
        <v>0.11653750855691442</v>
      </c>
      <c r="I1082" s="119">
        <v>224.68039416113837</v>
      </c>
    </row>
    <row r="1083" spans="1:9" x14ac:dyDescent="0.3">
      <c r="A1083" s="23">
        <v>1065</v>
      </c>
      <c r="B1083" s="52">
        <v>5.6535936885971375E-2</v>
      </c>
      <c r="C1083" s="52">
        <v>0.28028343845751325</v>
      </c>
      <c r="D1083" s="52">
        <v>0.437694918352173</v>
      </c>
      <c r="E1083" s="52">
        <v>0.19979815957489716</v>
      </c>
      <c r="F1083" s="52">
        <v>9.1976418358182488E-2</v>
      </c>
      <c r="G1083" s="52">
        <v>5.0905454311742086E-2</v>
      </c>
      <c r="H1083" s="52">
        <v>9.3436004160447075E-2</v>
      </c>
      <c r="I1083" s="119">
        <v>318.40941993705303</v>
      </c>
    </row>
    <row r="1084" spans="1:9" x14ac:dyDescent="0.3">
      <c r="A1084" s="23">
        <v>1066</v>
      </c>
      <c r="B1084" s="52">
        <v>7.6638002282822221E-2</v>
      </c>
      <c r="C1084" s="52">
        <v>0.2739336984131715</v>
      </c>
      <c r="D1084" s="52">
        <v>0.52342100493222432</v>
      </c>
      <c r="E1084" s="52">
        <v>0.16260577627990117</v>
      </c>
      <c r="F1084" s="52">
        <v>0.1009953363904974</v>
      </c>
      <c r="G1084" s="52">
        <v>5.7552022255239858E-2</v>
      </c>
      <c r="H1084" s="52">
        <v>0.11318379612897456</v>
      </c>
      <c r="I1084" s="119">
        <v>290.22649295481722</v>
      </c>
    </row>
    <row r="1085" spans="1:9" x14ac:dyDescent="0.3">
      <c r="A1085" s="23">
        <v>1067</v>
      </c>
      <c r="B1085" s="52">
        <v>8.130941675241414E-2</v>
      </c>
      <c r="C1085" s="52">
        <v>0.28452485852816756</v>
      </c>
      <c r="D1085" s="52">
        <v>0.47769178296252435</v>
      </c>
      <c r="E1085" s="52">
        <v>0.17822068560476523</v>
      </c>
      <c r="F1085" s="52">
        <v>0.10121394746958881</v>
      </c>
      <c r="G1085" s="52">
        <v>5.0006445068982337E-2</v>
      </c>
      <c r="H1085" s="52">
        <v>0.11160572794632784</v>
      </c>
      <c r="I1085" s="119">
        <v>263.71161847536189</v>
      </c>
    </row>
    <row r="1086" spans="1:9" x14ac:dyDescent="0.3">
      <c r="A1086" s="23">
        <v>1068</v>
      </c>
      <c r="B1086" s="52">
        <v>6.1049598713927469E-2</v>
      </c>
      <c r="C1086" s="52">
        <v>0.29715473673314641</v>
      </c>
      <c r="D1086" s="52">
        <v>0.52852876820124595</v>
      </c>
      <c r="E1086" s="52">
        <v>0.17764503775919652</v>
      </c>
      <c r="F1086" s="52">
        <v>8.5029842688084431E-2</v>
      </c>
      <c r="G1086" s="52">
        <v>4.8165400794880693E-2</v>
      </c>
      <c r="H1086" s="52">
        <v>8.8774896543906495E-2</v>
      </c>
      <c r="I1086" s="119">
        <v>475.83320443589571</v>
      </c>
    </row>
    <row r="1087" spans="1:9" x14ac:dyDescent="0.3">
      <c r="A1087" s="23">
        <v>1069</v>
      </c>
      <c r="B1087" s="52">
        <v>6.011067726286988E-2</v>
      </c>
      <c r="C1087" s="52">
        <v>0.26855673788044021</v>
      </c>
      <c r="D1087" s="52">
        <v>0.49916386660448814</v>
      </c>
      <c r="E1087" s="52">
        <v>0.16568305937455455</v>
      </c>
      <c r="F1087" s="52">
        <v>0.10241790194599104</v>
      </c>
      <c r="G1087" s="52">
        <v>2.9790611329326727E-2</v>
      </c>
      <c r="H1087" s="52">
        <v>0.11042935736712313</v>
      </c>
      <c r="I1087" s="119">
        <v>68.891036036831906</v>
      </c>
    </row>
    <row r="1088" spans="1:9" x14ac:dyDescent="0.3">
      <c r="A1088" s="23">
        <v>1070</v>
      </c>
      <c r="B1088" s="52">
        <v>5.7637216658833389E-2</v>
      </c>
      <c r="C1088" s="52">
        <v>0.27938993819784502</v>
      </c>
      <c r="D1088" s="52">
        <v>0.44850167359974374</v>
      </c>
      <c r="E1088" s="52">
        <v>0.20030910111503589</v>
      </c>
      <c r="F1088" s="52">
        <v>9.3126588855224318E-2</v>
      </c>
      <c r="G1088" s="52">
        <v>3.1444183175044806E-2</v>
      </c>
      <c r="H1088" s="52">
        <v>0.11834645969542197</v>
      </c>
      <c r="I1088" s="119">
        <v>151.59516014195225</v>
      </c>
    </row>
    <row r="1089" spans="1:9" x14ac:dyDescent="0.3">
      <c r="A1089" s="23">
        <v>1071</v>
      </c>
      <c r="B1089" s="52">
        <v>5.6725395056529668E-2</v>
      </c>
      <c r="C1089" s="52">
        <v>0.28705853809376314</v>
      </c>
      <c r="D1089" s="52">
        <v>0.63904059734957808</v>
      </c>
      <c r="E1089" s="52">
        <v>0.19466434606475799</v>
      </c>
      <c r="F1089" s="52">
        <v>0.10321390800717825</v>
      </c>
      <c r="G1089" s="52">
        <v>4.6401534049129271E-2</v>
      </c>
      <c r="H1089" s="52">
        <v>9.5361547608646749E-2</v>
      </c>
      <c r="I1089" s="119">
        <v>185.41005833776666</v>
      </c>
    </row>
    <row r="1090" spans="1:9" x14ac:dyDescent="0.3">
      <c r="A1090" s="23">
        <v>1072</v>
      </c>
      <c r="B1090" s="52">
        <v>7.920019045241676E-2</v>
      </c>
      <c r="C1090" s="52">
        <v>0.29586429077915083</v>
      </c>
      <c r="D1090" s="52">
        <v>0.56395065858289972</v>
      </c>
      <c r="E1090" s="52">
        <v>0.20860141655335901</v>
      </c>
      <c r="F1090" s="52">
        <v>9.2777021973936238E-2</v>
      </c>
      <c r="G1090" s="52">
        <v>4.2362114913811283E-2</v>
      </c>
      <c r="H1090" s="52">
        <v>9.7215294672999025E-2</v>
      </c>
      <c r="I1090" s="119">
        <v>322.40444146004393</v>
      </c>
    </row>
    <row r="1091" spans="1:9" x14ac:dyDescent="0.3">
      <c r="A1091" s="23">
        <v>1073</v>
      </c>
      <c r="B1091" s="52">
        <v>4.828379138587769E-2</v>
      </c>
      <c r="C1091" s="52">
        <v>0.27226507019255097</v>
      </c>
      <c r="D1091" s="52">
        <v>0.44177804399231668</v>
      </c>
      <c r="E1091" s="52">
        <v>0.18852445261162346</v>
      </c>
      <c r="F1091" s="52">
        <v>0.10283505132104315</v>
      </c>
      <c r="G1091" s="52">
        <v>5.5181705132434533E-2</v>
      </c>
      <c r="H1091" s="52">
        <v>0.10543891042018627</v>
      </c>
      <c r="I1091" s="119">
        <v>192.27273970537232</v>
      </c>
    </row>
    <row r="1092" spans="1:9" x14ac:dyDescent="0.3">
      <c r="A1092" s="23">
        <v>1074</v>
      </c>
      <c r="B1092" s="52">
        <v>5.4417199140372588E-2</v>
      </c>
      <c r="C1092" s="52">
        <v>0.2923281132682003</v>
      </c>
      <c r="D1092" s="52">
        <v>0.46699086013695557</v>
      </c>
      <c r="E1092" s="52">
        <v>0.16943266759176623</v>
      </c>
      <c r="F1092" s="52">
        <v>9.8038285915029194E-2</v>
      </c>
      <c r="G1092" s="52">
        <v>5.6305909315611719E-2</v>
      </c>
      <c r="H1092" s="52">
        <v>9.3489561765750906E-2</v>
      </c>
      <c r="I1092" s="119">
        <v>339.27032622662858</v>
      </c>
    </row>
    <row r="1093" spans="1:9" x14ac:dyDescent="0.3">
      <c r="A1093" s="23">
        <v>1075</v>
      </c>
      <c r="B1093" s="52">
        <v>5.0351768014036812E-2</v>
      </c>
      <c r="C1093" s="52">
        <v>0.28231022152619945</v>
      </c>
      <c r="D1093" s="52">
        <v>0.49239143012226289</v>
      </c>
      <c r="E1093" s="52">
        <v>0.19404420844811671</v>
      </c>
      <c r="F1093" s="52">
        <v>9.5211207717747104E-2</v>
      </c>
      <c r="G1093" s="52">
        <v>5.5577248824568812E-2</v>
      </c>
      <c r="H1093" s="52">
        <v>0.10118383743434839</v>
      </c>
      <c r="I1093" s="119">
        <v>324.25051679189363</v>
      </c>
    </row>
    <row r="1094" spans="1:9" x14ac:dyDescent="0.3">
      <c r="A1094" s="23">
        <v>1076</v>
      </c>
      <c r="B1094" s="52">
        <v>7.9505622057211331E-2</v>
      </c>
      <c r="C1094" s="52">
        <v>0.27176302264141439</v>
      </c>
      <c r="D1094" s="52">
        <v>0.42981365698091606</v>
      </c>
      <c r="E1094" s="52">
        <v>0.19551056883771073</v>
      </c>
      <c r="F1094" s="52">
        <v>0.10429977596065894</v>
      </c>
      <c r="G1094" s="52">
        <v>4.8018514146938938E-2</v>
      </c>
      <c r="H1094" s="52">
        <v>0.11621617796637382</v>
      </c>
      <c r="I1094" s="119">
        <v>176.55256775556475</v>
      </c>
    </row>
    <row r="1095" spans="1:9" x14ac:dyDescent="0.3">
      <c r="A1095" s="23">
        <v>1077</v>
      </c>
      <c r="B1095" s="52">
        <v>6.0128861093538058E-2</v>
      </c>
      <c r="C1095" s="52">
        <v>0.30329620233547822</v>
      </c>
      <c r="D1095" s="52">
        <v>0.54063050882326213</v>
      </c>
      <c r="E1095" s="52">
        <v>0.16757555209000594</v>
      </c>
      <c r="F1095" s="52">
        <v>9.4884234778810472E-2</v>
      </c>
      <c r="G1095" s="52">
        <v>4.4653062960550001E-2</v>
      </c>
      <c r="H1095" s="52">
        <v>0.10623162219964143</v>
      </c>
      <c r="I1095" s="119">
        <v>305.74787101109513</v>
      </c>
    </row>
    <row r="1096" spans="1:9" x14ac:dyDescent="0.3">
      <c r="A1096" s="23">
        <v>1078</v>
      </c>
      <c r="B1096" s="52">
        <v>7.7464108025149039E-2</v>
      </c>
      <c r="C1096" s="52">
        <v>0.30712571937559774</v>
      </c>
      <c r="D1096" s="52">
        <v>0.45614076753568344</v>
      </c>
      <c r="E1096" s="52">
        <v>0.1905653840475372</v>
      </c>
      <c r="F1096" s="52">
        <v>8.5408765971600062E-2</v>
      </c>
      <c r="G1096" s="52">
        <v>5.4307246246638324E-2</v>
      </c>
      <c r="H1096" s="52">
        <v>9.7838768035584597E-2</v>
      </c>
      <c r="I1096" s="119">
        <v>702.68183579232254</v>
      </c>
    </row>
    <row r="1097" spans="1:9" x14ac:dyDescent="0.3">
      <c r="A1097" s="23">
        <v>1079</v>
      </c>
      <c r="B1097" s="52">
        <v>5.6209054139056608E-2</v>
      </c>
      <c r="C1097" s="52">
        <v>0.27301748287892014</v>
      </c>
      <c r="D1097" s="52">
        <v>0.49201429756724385</v>
      </c>
      <c r="E1097" s="52">
        <v>0.19998608722779312</v>
      </c>
      <c r="F1097" s="52">
        <v>8.7454317930392989E-2</v>
      </c>
      <c r="G1097" s="52">
        <v>3.7222224515819864E-2</v>
      </c>
      <c r="H1097" s="52">
        <v>9.5783081957590638E-2</v>
      </c>
      <c r="I1097" s="119">
        <v>211.62254670912594</v>
      </c>
    </row>
    <row r="1098" spans="1:9" x14ac:dyDescent="0.3">
      <c r="A1098" s="23">
        <v>1080</v>
      </c>
      <c r="B1098" s="52">
        <v>5.697429160102585E-2</v>
      </c>
      <c r="C1098" s="52">
        <v>0.25283254107473679</v>
      </c>
      <c r="D1098" s="52">
        <v>0.64829023364327476</v>
      </c>
      <c r="E1098" s="52">
        <v>0.18110346888800705</v>
      </c>
      <c r="F1098" s="52">
        <v>8.361318585259897E-2</v>
      </c>
      <c r="G1098" s="52">
        <v>7.733078975511222E-2</v>
      </c>
      <c r="H1098" s="52">
        <v>8.2343283998062899E-2</v>
      </c>
      <c r="I1098" s="119">
        <v>2517.429807067329</v>
      </c>
    </row>
    <row r="1099" spans="1:9" x14ac:dyDescent="0.3">
      <c r="A1099" s="23">
        <v>1081</v>
      </c>
      <c r="B1099" s="52">
        <v>7.2060815750084356E-2</v>
      </c>
      <c r="C1099" s="52">
        <v>0.25618604900536185</v>
      </c>
      <c r="D1099" s="52">
        <v>0.58080877423133725</v>
      </c>
      <c r="E1099" s="52">
        <v>0.18618842955065296</v>
      </c>
      <c r="F1099" s="52">
        <v>9.5184862949963311E-2</v>
      </c>
      <c r="G1099" s="52">
        <v>4.4688048917641755E-2</v>
      </c>
      <c r="H1099" s="52">
        <v>9.1435213369635088E-2</v>
      </c>
      <c r="I1099" s="119">
        <v>165.83323789855098</v>
      </c>
    </row>
    <row r="1100" spans="1:9" x14ac:dyDescent="0.3">
      <c r="A1100" s="23">
        <v>1082</v>
      </c>
      <c r="B1100" s="52">
        <v>6.0303181501372018E-2</v>
      </c>
      <c r="C1100" s="52">
        <v>0.27589158086626697</v>
      </c>
      <c r="D1100" s="52">
        <v>0.69277014721176866</v>
      </c>
      <c r="E1100" s="52">
        <v>0.19819673894884213</v>
      </c>
      <c r="F1100" s="52">
        <v>9.9094198913847631E-2</v>
      </c>
      <c r="G1100" s="52">
        <v>6.5426472169495195E-2</v>
      </c>
      <c r="H1100" s="52">
        <v>9.7202321381433837E-2</v>
      </c>
      <c r="I1100" s="119">
        <v>399.23166736962003</v>
      </c>
    </row>
    <row r="1101" spans="1:9" x14ac:dyDescent="0.3">
      <c r="A1101" s="23">
        <v>1083</v>
      </c>
      <c r="B1101" s="52">
        <v>7.8393889365519179E-2</v>
      </c>
      <c r="C1101" s="52">
        <v>0.28928360956545401</v>
      </c>
      <c r="D1101" s="52">
        <v>0.51763553719571331</v>
      </c>
      <c r="E1101" s="52">
        <v>0.19594820012598105</v>
      </c>
      <c r="F1101" s="52">
        <v>9.9546490472541133E-2</v>
      </c>
      <c r="G1101" s="52">
        <v>6.7524573015656147E-2</v>
      </c>
      <c r="H1101" s="52">
        <v>0.10710408699828657</v>
      </c>
      <c r="I1101" s="119">
        <v>543.96029285202928</v>
      </c>
    </row>
    <row r="1102" spans="1:9" x14ac:dyDescent="0.3">
      <c r="A1102" s="23">
        <v>1084</v>
      </c>
      <c r="B1102" s="52">
        <v>7.1321499254138679E-2</v>
      </c>
      <c r="C1102" s="52">
        <v>0.27576095742339862</v>
      </c>
      <c r="D1102" s="52">
        <v>0.57499937748156915</v>
      </c>
      <c r="E1102" s="52">
        <v>0.2086764791995358</v>
      </c>
      <c r="F1102" s="52">
        <v>9.7413857132557916E-2</v>
      </c>
      <c r="G1102" s="52">
        <v>3.7563504602686579E-2</v>
      </c>
      <c r="H1102" s="52">
        <v>0.1111014016945954</v>
      </c>
      <c r="I1102" s="119">
        <v>165.14724405138216</v>
      </c>
    </row>
    <row r="1103" spans="1:9" x14ac:dyDescent="0.3">
      <c r="A1103" s="23">
        <v>1085</v>
      </c>
      <c r="B1103" s="52">
        <v>5.5848132627810541E-2</v>
      </c>
      <c r="C1103" s="52">
        <v>0.2956399845194036</v>
      </c>
      <c r="D1103" s="52">
        <v>0.43628553279680016</v>
      </c>
      <c r="E1103" s="52">
        <v>0.1993636587155555</v>
      </c>
      <c r="F1103" s="52">
        <v>0.10031798511955213</v>
      </c>
      <c r="G1103" s="52">
        <v>5.3100822324744917E-2</v>
      </c>
      <c r="H1103" s="52">
        <v>0.10038646964256542</v>
      </c>
      <c r="I1103" s="119">
        <v>290.00818271774318</v>
      </c>
    </row>
    <row r="1104" spans="1:9" x14ac:dyDescent="0.3">
      <c r="A1104" s="23">
        <v>1086</v>
      </c>
      <c r="B1104" s="52">
        <v>5.7557469027849667E-2</v>
      </c>
      <c r="C1104" s="52">
        <v>0.27704255434152825</v>
      </c>
      <c r="D1104" s="52">
        <v>0.62651195905365653</v>
      </c>
      <c r="E1104" s="52">
        <v>0.20731311642658398</v>
      </c>
      <c r="F1104" s="52">
        <v>9.627622193735097E-2</v>
      </c>
      <c r="G1104" s="52">
        <v>3.9727843369391266E-2</v>
      </c>
      <c r="H1104" s="52">
        <v>0.10438060829361216</v>
      </c>
      <c r="I1104" s="119">
        <v>169.52530078298972</v>
      </c>
    </row>
    <row r="1105" spans="1:9" x14ac:dyDescent="0.3">
      <c r="A1105" s="23">
        <v>1087</v>
      </c>
      <c r="B1105" s="52">
        <v>5.746704184761868E-2</v>
      </c>
      <c r="C1105" s="52">
        <v>0.27731498136142718</v>
      </c>
      <c r="D1105" s="52">
        <v>0.43136773514345994</v>
      </c>
      <c r="E1105" s="52">
        <v>0.1955061710456438</v>
      </c>
      <c r="F1105" s="52">
        <v>9.5741391184094735E-2</v>
      </c>
      <c r="G1105" s="52">
        <v>3.6577301670560315E-2</v>
      </c>
      <c r="H1105" s="52">
        <v>0.11106104088690735</v>
      </c>
      <c r="I1105" s="119">
        <v>155.63519950088312</v>
      </c>
    </row>
    <row r="1106" spans="1:9" x14ac:dyDescent="0.3">
      <c r="A1106" s="23">
        <v>1088</v>
      </c>
      <c r="B1106" s="52">
        <v>5.8465883016512565E-2</v>
      </c>
      <c r="C1106" s="52">
        <v>0.2669654068025491</v>
      </c>
      <c r="D1106" s="52">
        <v>0.66468133278652108</v>
      </c>
      <c r="E1106" s="52">
        <v>0.17665742499763615</v>
      </c>
      <c r="F1106" s="52">
        <v>9.5978570458502221E-2</v>
      </c>
      <c r="G1106" s="52">
        <v>2.6856497185613361E-2</v>
      </c>
      <c r="H1106" s="52">
        <v>0.11468362032416618</v>
      </c>
      <c r="I1106" s="119">
        <v>82.92969927007691</v>
      </c>
    </row>
    <row r="1107" spans="1:9" x14ac:dyDescent="0.3">
      <c r="A1107" s="23">
        <v>1089</v>
      </c>
      <c r="B1107" s="52">
        <v>5.8644863035353476E-2</v>
      </c>
      <c r="C1107" s="52">
        <v>0.3024169063382916</v>
      </c>
      <c r="D1107" s="52">
        <v>0.70605953499565643</v>
      </c>
      <c r="E1107" s="52">
        <v>0.20139183317196974</v>
      </c>
      <c r="F1107" s="52">
        <v>0.10245176205552416</v>
      </c>
      <c r="G1107" s="52">
        <v>4.4558527747613277E-2</v>
      </c>
      <c r="H1107" s="52">
        <v>8.2079370300068233E-2</v>
      </c>
      <c r="I1107" s="119">
        <v>226.30699814143156</v>
      </c>
    </row>
    <row r="1108" spans="1:9" x14ac:dyDescent="0.3">
      <c r="A1108" s="23">
        <v>1090</v>
      </c>
      <c r="B1108" s="52">
        <v>5.990073882794146E-2</v>
      </c>
      <c r="C1108" s="52">
        <v>0.29469325182756367</v>
      </c>
      <c r="D1108" s="52">
        <v>0.61752353954644723</v>
      </c>
      <c r="E1108" s="52">
        <v>0.16287835763638464</v>
      </c>
      <c r="F1108" s="52">
        <v>8.2238705150623634E-2</v>
      </c>
      <c r="G1108" s="52">
        <v>5.3171395762291011E-2</v>
      </c>
      <c r="H1108" s="52">
        <v>0.11174622200256658</v>
      </c>
      <c r="I1108" s="119">
        <v>638.3572760575189</v>
      </c>
    </row>
    <row r="1109" spans="1:9" x14ac:dyDescent="0.3">
      <c r="A1109" s="23">
        <v>1091</v>
      </c>
      <c r="B1109" s="52">
        <v>4.851438643217168E-2</v>
      </c>
      <c r="C1109" s="52">
        <v>0.26446086226638832</v>
      </c>
      <c r="D1109" s="52">
        <v>0.46434790054694636</v>
      </c>
      <c r="E1109" s="52">
        <v>0.16316530864127402</v>
      </c>
      <c r="F1109" s="52">
        <v>9.8549348414645785E-2</v>
      </c>
      <c r="G1109" s="52">
        <v>6.5442625865918841E-2</v>
      </c>
      <c r="H1109" s="52">
        <v>0.10019347438403235</v>
      </c>
      <c r="I1109" s="119">
        <v>331.36316762279318</v>
      </c>
    </row>
    <row r="1110" spans="1:9" x14ac:dyDescent="0.3">
      <c r="A1110" s="23">
        <v>1092</v>
      </c>
      <c r="B1110" s="52">
        <v>7.0044767604352687E-2</v>
      </c>
      <c r="C1110" s="52">
        <v>0.26529107584427408</v>
      </c>
      <c r="D1110" s="52">
        <v>0.53275879516208469</v>
      </c>
      <c r="E1110" s="52">
        <v>0.20229870270423106</v>
      </c>
      <c r="F1110" s="52">
        <v>0.10335835630750999</v>
      </c>
      <c r="G1110" s="52">
        <v>4.9766729166680873E-2</v>
      </c>
      <c r="H1110" s="52">
        <v>0.11489963957852989</v>
      </c>
      <c r="I1110" s="119">
        <v>160.65362485636459</v>
      </c>
    </row>
    <row r="1111" spans="1:9" x14ac:dyDescent="0.3">
      <c r="A1111" s="23">
        <v>1093</v>
      </c>
      <c r="B1111" s="52">
        <v>5.5730991203989208E-2</v>
      </c>
      <c r="C1111" s="52">
        <v>0.28368707903266061</v>
      </c>
      <c r="D1111" s="52">
        <v>0.46785721894908544</v>
      </c>
      <c r="E1111" s="52">
        <v>0.21552231029366015</v>
      </c>
      <c r="F1111" s="52">
        <v>9.0318355307050319E-2</v>
      </c>
      <c r="G1111" s="52">
        <v>6.7164863990816087E-2</v>
      </c>
      <c r="H1111" s="52">
        <v>0.11227226545095043</v>
      </c>
      <c r="I1111" s="119">
        <v>723.69780259200672</v>
      </c>
    </row>
    <row r="1112" spans="1:9" x14ac:dyDescent="0.3">
      <c r="A1112" s="23">
        <v>1094</v>
      </c>
      <c r="B1112" s="52">
        <v>5.831698559844075E-2</v>
      </c>
      <c r="C1112" s="52">
        <v>0.28208675394332255</v>
      </c>
      <c r="D1112" s="52">
        <v>0.72955634814671333</v>
      </c>
      <c r="E1112" s="52">
        <v>0.22510259765047774</v>
      </c>
      <c r="F1112" s="52">
        <v>0.10028162487598481</v>
      </c>
      <c r="G1112" s="52">
        <v>4.4863025807192827E-2</v>
      </c>
      <c r="H1112" s="52">
        <v>0.1105786512686108</v>
      </c>
      <c r="I1112" s="119">
        <v>186.79524833666801</v>
      </c>
    </row>
    <row r="1113" spans="1:9" x14ac:dyDescent="0.3">
      <c r="A1113" s="23">
        <v>1095</v>
      </c>
      <c r="B1113" s="52">
        <v>4.3639362519927588E-2</v>
      </c>
      <c r="C1113" s="52">
        <v>0.24435064305966947</v>
      </c>
      <c r="D1113" s="52">
        <v>0.79234549211354632</v>
      </c>
      <c r="E1113" s="52">
        <v>0.18514704765012896</v>
      </c>
      <c r="F1113" s="52">
        <v>9.29570514546601E-2</v>
      </c>
      <c r="G1113" s="52">
        <v>6.0816534896648788E-2</v>
      </c>
      <c r="H1113" s="52">
        <v>9.4865092260165512E-2</v>
      </c>
      <c r="I1113" s="119">
        <v>257.01824406772022</v>
      </c>
    </row>
    <row r="1114" spans="1:9" x14ac:dyDescent="0.3">
      <c r="A1114" s="23">
        <v>1096</v>
      </c>
      <c r="B1114" s="52">
        <v>5.8373694977659527E-2</v>
      </c>
      <c r="C1114" s="52">
        <v>0.25829623057754703</v>
      </c>
      <c r="D1114" s="52">
        <v>0.4717375287187886</v>
      </c>
      <c r="E1114" s="52">
        <v>0.20387675788718379</v>
      </c>
      <c r="F1114" s="52">
        <v>9.7729064029051377E-2</v>
      </c>
      <c r="G1114" s="52">
        <v>6.1417875942208183E-2</v>
      </c>
      <c r="H1114" s="52">
        <v>9.347220990394868E-2</v>
      </c>
      <c r="I1114" s="119">
        <v>280.94102920875582</v>
      </c>
    </row>
    <row r="1115" spans="1:9" x14ac:dyDescent="0.3">
      <c r="A1115" s="23">
        <v>1097</v>
      </c>
      <c r="B1115" s="52">
        <v>6.6548075533361742E-2</v>
      </c>
      <c r="C1115" s="52">
        <v>0.27685897738997367</v>
      </c>
      <c r="D1115" s="52">
        <v>0.54309144161679512</v>
      </c>
      <c r="E1115" s="52">
        <v>0.1711598436778331</v>
      </c>
      <c r="F1115" s="52">
        <v>0.10244224885735438</v>
      </c>
      <c r="G1115" s="52">
        <v>4.0468459527964136E-2</v>
      </c>
      <c r="H1115" s="52">
        <v>0.11545478293463717</v>
      </c>
      <c r="I1115" s="119">
        <v>143.07768419042836</v>
      </c>
    </row>
    <row r="1116" spans="1:9" x14ac:dyDescent="0.3">
      <c r="A1116" s="23">
        <v>1098</v>
      </c>
      <c r="B1116" s="52">
        <v>4.3625877894730505E-2</v>
      </c>
      <c r="C1116" s="52">
        <v>0.29111117826909522</v>
      </c>
      <c r="D1116" s="52">
        <v>0.49549114599106875</v>
      </c>
      <c r="E1116" s="52">
        <v>0.19755804474398836</v>
      </c>
      <c r="F1116" s="52">
        <v>8.2991020293831458E-2</v>
      </c>
      <c r="G1116" s="52">
        <v>6.3844083770961388E-2</v>
      </c>
      <c r="H1116" s="52">
        <v>0.11149217880966725</v>
      </c>
      <c r="I1116" s="119">
        <v>942.45783310894922</v>
      </c>
    </row>
    <row r="1117" spans="1:9" x14ac:dyDescent="0.3">
      <c r="A1117" s="23">
        <v>1099</v>
      </c>
      <c r="B1117" s="52">
        <v>5.9495197346941489E-2</v>
      </c>
      <c r="C1117" s="52">
        <v>0.30177042734775605</v>
      </c>
      <c r="D1117" s="52">
        <v>0.47910904937035187</v>
      </c>
      <c r="E1117" s="52">
        <v>0.17832867315490886</v>
      </c>
      <c r="F1117" s="52">
        <v>0.10041850846274544</v>
      </c>
      <c r="G1117" s="52">
        <v>5.7416358633135989E-2</v>
      </c>
      <c r="H1117" s="52">
        <v>0.11690883586467224</v>
      </c>
      <c r="I1117" s="119">
        <v>365.09947836328638</v>
      </c>
    </row>
    <row r="1118" spans="1:9" x14ac:dyDescent="0.3">
      <c r="A1118" s="23">
        <v>1100</v>
      </c>
      <c r="B1118" s="52">
        <v>6.5332493558983656E-2</v>
      </c>
      <c r="C1118" s="52">
        <v>0.28436082203338464</v>
      </c>
      <c r="D1118" s="52">
        <v>0.4706329536205785</v>
      </c>
      <c r="E1118" s="52">
        <v>0.18967205905073584</v>
      </c>
      <c r="F1118" s="52">
        <v>8.7379425845848568E-2</v>
      </c>
      <c r="G1118" s="52">
        <v>4.9728278678174628E-2</v>
      </c>
      <c r="H1118" s="52">
        <v>0.11728528589567225</v>
      </c>
      <c r="I1118" s="119">
        <v>411.77195222304812</v>
      </c>
    </row>
    <row r="1119" spans="1:9" x14ac:dyDescent="0.3">
      <c r="A1119" s="23">
        <v>1101</v>
      </c>
      <c r="B1119" s="52">
        <v>5.6100340928669251E-2</v>
      </c>
      <c r="C1119" s="52">
        <v>0.29352039993072732</v>
      </c>
      <c r="D1119" s="52">
        <v>0.61201626757148697</v>
      </c>
      <c r="E1119" s="52">
        <v>0.17897245702555825</v>
      </c>
      <c r="F1119" s="52">
        <v>8.2440328468011054E-2</v>
      </c>
      <c r="G1119" s="52">
        <v>3.8152045838999199E-2</v>
      </c>
      <c r="H1119" s="52">
        <v>0.10775428198375114</v>
      </c>
      <c r="I1119" s="119">
        <v>349.41497640941935</v>
      </c>
    </row>
    <row r="1120" spans="1:9" x14ac:dyDescent="0.3">
      <c r="A1120" s="23">
        <v>1102</v>
      </c>
      <c r="B1120" s="52">
        <v>6.2915505378867573E-2</v>
      </c>
      <c r="C1120" s="52">
        <v>0.28133821877184906</v>
      </c>
      <c r="D1120" s="52">
        <v>0.4674996994192982</v>
      </c>
      <c r="E1120" s="52">
        <v>0.19479255610063337</v>
      </c>
      <c r="F1120" s="52">
        <v>0.10425340743150036</v>
      </c>
      <c r="G1120" s="52">
        <v>6.1944845674317288E-2</v>
      </c>
      <c r="H1120" s="52">
        <v>0.10874189085186303</v>
      </c>
      <c r="I1120" s="119">
        <v>297.5280599474915</v>
      </c>
    </row>
    <row r="1121" spans="1:9" x14ac:dyDescent="0.3">
      <c r="A1121" s="23">
        <v>1103</v>
      </c>
      <c r="B1121" s="52">
        <v>7.7523071304505795E-2</v>
      </c>
      <c r="C1121" s="52">
        <v>0.27425888543401133</v>
      </c>
      <c r="D1121" s="52">
        <v>0.56613833491648702</v>
      </c>
      <c r="E1121" s="52">
        <v>0.1870890697328586</v>
      </c>
      <c r="F1121" s="52">
        <v>9.2725443898526883E-2</v>
      </c>
      <c r="G1121" s="52">
        <v>5.2080220503743994E-2</v>
      </c>
      <c r="H1121" s="52">
        <v>0.11141183776091174</v>
      </c>
      <c r="I1121" s="119">
        <v>342.33116834437146</v>
      </c>
    </row>
    <row r="1122" spans="1:9" x14ac:dyDescent="0.3">
      <c r="A1122" s="23">
        <v>1104</v>
      </c>
      <c r="B1122" s="52">
        <v>5.6033681621210939E-2</v>
      </c>
      <c r="C1122" s="52">
        <v>0.30101373312538737</v>
      </c>
      <c r="D1122" s="52">
        <v>0.43884217387379748</v>
      </c>
      <c r="E1122" s="52">
        <v>0.20632124899159832</v>
      </c>
      <c r="F1122" s="52">
        <v>9.4219936353291775E-2</v>
      </c>
      <c r="G1122" s="52">
        <v>3.5867720960776832E-2</v>
      </c>
      <c r="H1122" s="52">
        <v>0.11295060797380996</v>
      </c>
      <c r="I1122" s="119">
        <v>228.01255186309194</v>
      </c>
    </row>
    <row r="1123" spans="1:9" x14ac:dyDescent="0.3">
      <c r="A1123" s="23">
        <v>1105</v>
      </c>
      <c r="B1123" s="52">
        <v>6.4267494096319877E-2</v>
      </c>
      <c r="C1123" s="52">
        <v>0.29025039502830369</v>
      </c>
      <c r="D1123" s="52">
        <v>0.60379316497879887</v>
      </c>
      <c r="E1123" s="52">
        <v>0.19005268403653153</v>
      </c>
      <c r="F1123" s="52">
        <v>0.10876882621476797</v>
      </c>
      <c r="G1123" s="52">
        <v>6.2003722057413349E-2</v>
      </c>
      <c r="H1123" s="52">
        <v>0.1068383691962493</v>
      </c>
      <c r="I1123" s="119">
        <v>277.48862313187146</v>
      </c>
    </row>
    <row r="1124" spans="1:9" x14ac:dyDescent="0.3">
      <c r="A1124" s="23">
        <v>1106</v>
      </c>
      <c r="B1124" s="52">
        <v>6.4085831825166473E-2</v>
      </c>
      <c r="C1124" s="52">
        <v>0.27279234940440222</v>
      </c>
      <c r="D1124" s="52">
        <v>0.48142909497310393</v>
      </c>
      <c r="E1124" s="52">
        <v>0.17975406472401126</v>
      </c>
      <c r="F1124" s="52">
        <v>0.10173987073583758</v>
      </c>
      <c r="G1124" s="52">
        <v>5.6174407182474843E-2</v>
      </c>
      <c r="H1124" s="52">
        <v>0.10380095244694003</v>
      </c>
      <c r="I1124" s="119">
        <v>240.22590746633537</v>
      </c>
    </row>
    <row r="1125" spans="1:9" x14ac:dyDescent="0.3">
      <c r="A1125" s="23">
        <v>1107</v>
      </c>
      <c r="B1125" s="52">
        <v>7.3437228204340288E-2</v>
      </c>
      <c r="C1125" s="52">
        <v>0.29562042270546612</v>
      </c>
      <c r="D1125" s="52">
        <v>0.58915173820443656</v>
      </c>
      <c r="E1125" s="52">
        <v>0.17808405178645484</v>
      </c>
      <c r="F1125" s="52">
        <v>0.10116137811074745</v>
      </c>
      <c r="G1125" s="52">
        <v>6.6300152472320045E-2</v>
      </c>
      <c r="H1125" s="52">
        <v>0.11023787679907149</v>
      </c>
      <c r="I1125" s="119">
        <v>498.02506610600818</v>
      </c>
    </row>
    <row r="1126" spans="1:9" x14ac:dyDescent="0.3">
      <c r="A1126" s="23">
        <v>1108</v>
      </c>
      <c r="B1126" s="52">
        <v>6.1293907149693058E-2</v>
      </c>
      <c r="C1126" s="52">
        <v>0.29038219066763182</v>
      </c>
      <c r="D1126" s="52">
        <v>0.43372454540067745</v>
      </c>
      <c r="E1126" s="52">
        <v>0.19394156600248508</v>
      </c>
      <c r="F1126" s="52">
        <v>9.4142904052410159E-2</v>
      </c>
      <c r="G1126" s="52">
        <v>5.8813004683179286E-2</v>
      </c>
      <c r="H1126" s="52">
        <v>0.10636475561786793</v>
      </c>
      <c r="I1126" s="119">
        <v>450.15328200607212</v>
      </c>
    </row>
    <row r="1127" spans="1:9" x14ac:dyDescent="0.3">
      <c r="A1127" s="23">
        <v>1109</v>
      </c>
      <c r="B1127" s="52">
        <v>5.4163722477420122E-2</v>
      </c>
      <c r="C1127" s="52">
        <v>0.24515341038515204</v>
      </c>
      <c r="D1127" s="52">
        <v>0.55444535404405748</v>
      </c>
      <c r="E1127" s="52">
        <v>0.2036176350157089</v>
      </c>
      <c r="F1127" s="52">
        <v>8.6841969293806637E-2</v>
      </c>
      <c r="G1127" s="52">
        <v>5.5010174276239429E-2</v>
      </c>
      <c r="H1127" s="52">
        <v>0.11227547603126475</v>
      </c>
      <c r="I1127" s="119">
        <v>296.48914236335622</v>
      </c>
    </row>
    <row r="1128" spans="1:9" x14ac:dyDescent="0.3">
      <c r="A1128" s="23">
        <v>1110</v>
      </c>
      <c r="B1128" s="52">
        <v>6.2734345474451642E-2</v>
      </c>
      <c r="C1128" s="52">
        <v>0.29019110327843117</v>
      </c>
      <c r="D1128" s="52">
        <v>0.62204228087187863</v>
      </c>
      <c r="E1128" s="52">
        <v>0.19291059332375352</v>
      </c>
      <c r="F1128" s="52">
        <v>9.9720326093660716E-2</v>
      </c>
      <c r="G1128" s="52">
        <v>4.6898249681625544E-2</v>
      </c>
      <c r="H1128" s="52">
        <v>0.11124041288118978</v>
      </c>
      <c r="I1128" s="119">
        <v>238.13777041966284</v>
      </c>
    </row>
    <row r="1129" spans="1:9" x14ac:dyDescent="0.3">
      <c r="A1129" s="23">
        <v>1111</v>
      </c>
      <c r="B1129" s="52">
        <v>7.5042355983444539E-2</v>
      </c>
      <c r="C1129" s="52">
        <v>0.28075831129868378</v>
      </c>
      <c r="D1129" s="52">
        <v>0.49623688291269069</v>
      </c>
      <c r="E1129" s="52">
        <v>0.17734011197604779</v>
      </c>
      <c r="F1129" s="52">
        <v>0.1012600989258849</v>
      </c>
      <c r="G1129" s="52">
        <v>4.7861054193665979E-2</v>
      </c>
      <c r="H1129" s="52">
        <v>8.3051968024270839E-2</v>
      </c>
      <c r="I1129" s="119">
        <v>222.54765904122095</v>
      </c>
    </row>
    <row r="1130" spans="1:9" x14ac:dyDescent="0.3">
      <c r="A1130" s="23">
        <v>1112</v>
      </c>
      <c r="B1130" s="52">
        <v>8.0622544318381673E-2</v>
      </c>
      <c r="C1130" s="52">
        <v>0.29119384649957486</v>
      </c>
      <c r="D1130" s="52">
        <v>0.49871955722334771</v>
      </c>
      <c r="E1130" s="52">
        <v>0.1972053840523173</v>
      </c>
      <c r="F1130" s="52">
        <v>8.0807493511235007E-2</v>
      </c>
      <c r="G1130" s="52">
        <v>4.7769981795172382E-2</v>
      </c>
      <c r="H1130" s="52">
        <v>0.11134406377244682</v>
      </c>
      <c r="I1130" s="119">
        <v>592.20482532727647</v>
      </c>
    </row>
    <row r="1131" spans="1:9" x14ac:dyDescent="0.3">
      <c r="A1131" s="23">
        <v>1113</v>
      </c>
      <c r="B1131" s="52">
        <v>8.0546286082553153E-2</v>
      </c>
      <c r="C1131" s="52">
        <v>0.3019232704365456</v>
      </c>
      <c r="D1131" s="52">
        <v>0.45423078230641084</v>
      </c>
      <c r="E1131" s="52">
        <v>0.20161472422854837</v>
      </c>
      <c r="F1131" s="52">
        <v>9.74884336673493E-2</v>
      </c>
      <c r="G1131" s="52">
        <v>6.4264695558832435E-2</v>
      </c>
      <c r="H1131" s="52">
        <v>0.11862116378959489</v>
      </c>
      <c r="I1131" s="119">
        <v>594.25891937525682</v>
      </c>
    </row>
    <row r="1132" spans="1:9" x14ac:dyDescent="0.3">
      <c r="A1132" s="23">
        <v>1114</v>
      </c>
      <c r="B1132" s="52">
        <v>5.6171554303037885E-2</v>
      </c>
      <c r="C1132" s="52">
        <v>0.29072041845433416</v>
      </c>
      <c r="D1132" s="52">
        <v>0.54745021539362759</v>
      </c>
      <c r="E1132" s="52">
        <v>0.21540661888650489</v>
      </c>
      <c r="F1132" s="52">
        <v>9.465912530610382E-2</v>
      </c>
      <c r="G1132" s="52">
        <v>4.5559329112309185E-2</v>
      </c>
      <c r="H1132" s="52">
        <v>0.10988708576720937</v>
      </c>
      <c r="I1132" s="119">
        <v>267.19889868924906</v>
      </c>
    </row>
    <row r="1133" spans="1:9" x14ac:dyDescent="0.3">
      <c r="A1133" s="23">
        <v>1115</v>
      </c>
      <c r="B1133" s="52">
        <v>7.187554270168188E-2</v>
      </c>
      <c r="C1133" s="52">
        <v>0.29690789310945315</v>
      </c>
      <c r="D1133" s="52">
        <v>0.47903480082641858</v>
      </c>
      <c r="E1133" s="52">
        <v>0.19488260485059214</v>
      </c>
      <c r="F1133" s="52">
        <v>9.5136159541461651E-2</v>
      </c>
      <c r="G1133" s="52">
        <v>4.8242881337932024E-2</v>
      </c>
      <c r="H1133" s="52">
        <v>9.6888362922196741E-2</v>
      </c>
      <c r="I1133" s="119">
        <v>341.51709298925402</v>
      </c>
    </row>
    <row r="1134" spans="1:9" x14ac:dyDescent="0.3">
      <c r="A1134" s="23">
        <v>1116</v>
      </c>
      <c r="B1134" s="52">
        <v>7.9944096396601202E-2</v>
      </c>
      <c r="C1134" s="52">
        <v>0.27288103185246326</v>
      </c>
      <c r="D1134" s="52">
        <v>0.45238791195970873</v>
      </c>
      <c r="E1134" s="52">
        <v>0.1857719754791311</v>
      </c>
      <c r="F1134" s="52">
        <v>0.10419787214718443</v>
      </c>
      <c r="G1134" s="52">
        <v>6.0615017930344302E-2</v>
      </c>
      <c r="H1134" s="52">
        <v>0.10827146273175059</v>
      </c>
      <c r="I1134" s="119">
        <v>285.08049588943351</v>
      </c>
    </row>
    <row r="1135" spans="1:9" x14ac:dyDescent="0.3">
      <c r="A1135" s="23">
        <v>1117</v>
      </c>
      <c r="B1135" s="52">
        <v>6.0101506524654527E-2</v>
      </c>
      <c r="C1135" s="52">
        <v>0.28836152296950984</v>
      </c>
      <c r="D1135" s="52">
        <v>0.43244195804439578</v>
      </c>
      <c r="E1135" s="52">
        <v>0.19386808799444855</v>
      </c>
      <c r="F1135" s="52">
        <v>9.9009293322761316E-2</v>
      </c>
      <c r="G1135" s="52">
        <v>5.2475138981486355E-2</v>
      </c>
      <c r="H1135" s="52">
        <v>8.8056536836793209E-2</v>
      </c>
      <c r="I1135" s="119">
        <v>282.84225840108201</v>
      </c>
    </row>
    <row r="1136" spans="1:9" x14ac:dyDescent="0.3">
      <c r="A1136" s="23">
        <v>1118</v>
      </c>
      <c r="B1136" s="52">
        <v>5.0345700590169504E-2</v>
      </c>
      <c r="C1136" s="52">
        <v>0.27684363803644807</v>
      </c>
      <c r="D1136" s="52">
        <v>0.45812786850035531</v>
      </c>
      <c r="E1136" s="52">
        <v>0.20520632888760612</v>
      </c>
      <c r="F1136" s="52">
        <v>9.6368944845783996E-2</v>
      </c>
      <c r="G1136" s="52">
        <v>6.4446963177130015E-2</v>
      </c>
      <c r="H1136" s="52">
        <v>9.931042910386742E-2</v>
      </c>
      <c r="I1136" s="119">
        <v>416.45614352472836</v>
      </c>
    </row>
    <row r="1137" spans="1:9" x14ac:dyDescent="0.3">
      <c r="A1137" s="23">
        <v>1119</v>
      </c>
      <c r="B1137" s="52">
        <v>6.0190544057106755E-2</v>
      </c>
      <c r="C1137" s="52">
        <v>0.27895375186325089</v>
      </c>
      <c r="D1137" s="52">
        <v>0.43214658362004599</v>
      </c>
      <c r="E1137" s="52">
        <v>0.19787695595831048</v>
      </c>
      <c r="F1137" s="52">
        <v>8.809067775144036E-2</v>
      </c>
      <c r="G1137" s="52">
        <v>5.6233947418443841E-2</v>
      </c>
      <c r="H1137" s="52">
        <v>0.11135383636314546</v>
      </c>
      <c r="I1137" s="119">
        <v>473.85259864738583</v>
      </c>
    </row>
    <row r="1138" spans="1:9" x14ac:dyDescent="0.3">
      <c r="A1138" s="23">
        <v>1120</v>
      </c>
      <c r="B1138" s="52">
        <v>7.107657406490607E-2</v>
      </c>
      <c r="C1138" s="52">
        <v>0.28039814456491868</v>
      </c>
      <c r="D1138" s="52">
        <v>0.5824595950887046</v>
      </c>
      <c r="E1138" s="52">
        <v>0.19066613308523853</v>
      </c>
      <c r="F1138" s="52">
        <v>0.10085222972076201</v>
      </c>
      <c r="G1138" s="52">
        <v>4.5338597469832716E-2</v>
      </c>
      <c r="H1138" s="52">
        <v>0.10367448717090103</v>
      </c>
      <c r="I1138" s="119">
        <v>200.56746744135293</v>
      </c>
    </row>
    <row r="1139" spans="1:9" x14ac:dyDescent="0.3">
      <c r="A1139" s="23">
        <v>1121</v>
      </c>
      <c r="B1139" s="52">
        <v>6.9576198777285728E-2</v>
      </c>
      <c r="C1139" s="52">
        <v>0.28237653687302317</v>
      </c>
      <c r="D1139" s="52">
        <v>0.47788226482477558</v>
      </c>
      <c r="E1139" s="52">
        <v>0.20168542681261512</v>
      </c>
      <c r="F1139" s="52">
        <v>9.9915213715947568E-2</v>
      </c>
      <c r="G1139" s="52">
        <v>3.1403108390046591E-2</v>
      </c>
      <c r="H1139" s="52">
        <v>0.10689628111633559</v>
      </c>
      <c r="I1139" s="119">
        <v>134.04407508174978</v>
      </c>
    </row>
    <row r="1140" spans="1:9" x14ac:dyDescent="0.3">
      <c r="A1140" s="23">
        <v>1122</v>
      </c>
      <c r="B1140" s="52">
        <v>5.3258289809183422E-2</v>
      </c>
      <c r="C1140" s="52">
        <v>0.27697494281271423</v>
      </c>
      <c r="D1140" s="52">
        <v>0.43908294456657082</v>
      </c>
      <c r="E1140" s="52">
        <v>0.17232858266272016</v>
      </c>
      <c r="F1140" s="52">
        <v>0.1037137586030617</v>
      </c>
      <c r="G1140" s="52">
        <v>3.8908264534495023E-2</v>
      </c>
      <c r="H1140" s="52">
        <v>0.10855269793431598</v>
      </c>
      <c r="I1140" s="119">
        <v>110.49311161564827</v>
      </c>
    </row>
    <row r="1141" spans="1:9" x14ac:dyDescent="0.3">
      <c r="A1141" s="23">
        <v>1123</v>
      </c>
      <c r="B1141" s="52">
        <v>5.9322344024972662E-2</v>
      </c>
      <c r="C1141" s="52">
        <v>0.28540226519556339</v>
      </c>
      <c r="D1141" s="52">
        <v>0.57161329326542387</v>
      </c>
      <c r="E1141" s="52">
        <v>0.19712610692885238</v>
      </c>
      <c r="F1141" s="52">
        <v>9.0928277220166831E-2</v>
      </c>
      <c r="G1141" s="52">
        <v>5.2797814629003299E-2</v>
      </c>
      <c r="H1141" s="52">
        <v>0.11389825592918951</v>
      </c>
      <c r="I1141" s="119">
        <v>386.39280935891628</v>
      </c>
    </row>
    <row r="1142" spans="1:9" x14ac:dyDescent="0.3">
      <c r="A1142" s="23">
        <v>1124</v>
      </c>
      <c r="B1142" s="52">
        <v>8.6576934372317366E-2</v>
      </c>
      <c r="C1142" s="52">
        <v>0.27547783578775897</v>
      </c>
      <c r="D1142" s="52">
        <v>0.5050636617795059</v>
      </c>
      <c r="E1142" s="52">
        <v>0.19039911789279398</v>
      </c>
      <c r="F1142" s="52">
        <v>0.10190724189274059</v>
      </c>
      <c r="G1142" s="52">
        <v>4.8709365487213753E-2</v>
      </c>
      <c r="H1142" s="52">
        <v>0.1174747077949215</v>
      </c>
      <c r="I1142" s="119">
        <v>224.8266182447353</v>
      </c>
    </row>
    <row r="1143" spans="1:9" x14ac:dyDescent="0.3">
      <c r="A1143" s="23">
        <v>1125</v>
      </c>
      <c r="B1143" s="52">
        <v>5.2744864085006136E-2</v>
      </c>
      <c r="C1143" s="52">
        <v>0.28174797784866523</v>
      </c>
      <c r="D1143" s="52">
        <v>0.53606618171352427</v>
      </c>
      <c r="E1143" s="52">
        <v>0.19891561965523163</v>
      </c>
      <c r="F1143" s="52">
        <v>0.1045216568154058</v>
      </c>
      <c r="G1143" s="52">
        <v>7.3234755653983491E-2</v>
      </c>
      <c r="H1143" s="52">
        <v>9.9667225103576146E-2</v>
      </c>
      <c r="I1143" s="119">
        <v>438.10865743516752</v>
      </c>
    </row>
    <row r="1144" spans="1:9" x14ac:dyDescent="0.3">
      <c r="A1144" s="23">
        <v>1126</v>
      </c>
      <c r="B1144" s="52">
        <v>5.2507544166426223E-2</v>
      </c>
      <c r="C1144" s="52">
        <v>0.28777081387331038</v>
      </c>
      <c r="D1144" s="52">
        <v>0.4582953852011532</v>
      </c>
      <c r="E1144" s="52">
        <v>0.19663972695478005</v>
      </c>
      <c r="F1144" s="52">
        <v>0.10019954986974133</v>
      </c>
      <c r="G1144" s="52">
        <v>3.6962969677190136E-2</v>
      </c>
      <c r="H1144" s="52">
        <v>9.8466175698842501E-2</v>
      </c>
      <c r="I1144" s="119">
        <v>148.96717473803102</v>
      </c>
    </row>
    <row r="1145" spans="1:9" x14ac:dyDescent="0.3">
      <c r="A1145" s="23">
        <v>1127</v>
      </c>
      <c r="B1145" s="52">
        <v>6.3729460346491226E-2</v>
      </c>
      <c r="C1145" s="52">
        <v>0.28630457625082123</v>
      </c>
      <c r="D1145" s="52">
        <v>0.46523085993314583</v>
      </c>
      <c r="E1145" s="52">
        <v>0.20463400408057122</v>
      </c>
      <c r="F1145" s="52">
        <v>9.486355479863498E-2</v>
      </c>
      <c r="G1145" s="52">
        <v>4.7794625899099323E-2</v>
      </c>
      <c r="H1145" s="52">
        <v>0.10661685585220367</v>
      </c>
      <c r="I1145" s="119">
        <v>285.27144398811083</v>
      </c>
    </row>
    <row r="1146" spans="1:9" x14ac:dyDescent="0.3">
      <c r="A1146" s="23">
        <v>1128</v>
      </c>
      <c r="B1146" s="52">
        <v>7.0283830032376343E-2</v>
      </c>
      <c r="C1146" s="52">
        <v>0.28158957448961208</v>
      </c>
      <c r="D1146" s="52">
        <v>0.44633804554450118</v>
      </c>
      <c r="E1146" s="52">
        <v>0.21445775138584755</v>
      </c>
      <c r="F1146" s="52">
        <v>9.4259950567964296E-2</v>
      </c>
      <c r="G1146" s="52">
        <v>6.6850519969138822E-2</v>
      </c>
      <c r="H1146" s="52">
        <v>0.10844045328893355</v>
      </c>
      <c r="I1146" s="119">
        <v>607.71654211217572</v>
      </c>
    </row>
    <row r="1147" spans="1:9" x14ac:dyDescent="0.3">
      <c r="A1147" s="23">
        <v>1129</v>
      </c>
      <c r="B1147" s="52">
        <v>6.6091119934938464E-2</v>
      </c>
      <c r="C1147" s="52">
        <v>0.26788721940059856</v>
      </c>
      <c r="D1147" s="52">
        <v>0.67049070666282828</v>
      </c>
      <c r="E1147" s="52">
        <v>0.20068244373144442</v>
      </c>
      <c r="F1147" s="52">
        <v>0.10411373374002367</v>
      </c>
      <c r="G1147" s="52">
        <v>5.6799481421709916E-2</v>
      </c>
      <c r="H1147" s="52">
        <v>0.12390558856590107</v>
      </c>
      <c r="I1147" s="119">
        <v>207.4837692902087</v>
      </c>
    </row>
    <row r="1148" spans="1:9" x14ac:dyDescent="0.3">
      <c r="A1148" s="23">
        <v>1130</v>
      </c>
      <c r="B1148" s="52">
        <v>5.6941040865033377E-2</v>
      </c>
      <c r="C1148" s="52">
        <v>0.3032179450133759</v>
      </c>
      <c r="D1148" s="52">
        <v>0.54957401355744717</v>
      </c>
      <c r="E1148" s="52">
        <v>0.17923127237698022</v>
      </c>
      <c r="F1148" s="52">
        <v>0.10262458808421042</v>
      </c>
      <c r="G1148" s="52">
        <v>7.3378267275633569E-2</v>
      </c>
      <c r="H1148" s="52">
        <v>0.12290824490086701</v>
      </c>
      <c r="I1148" s="119">
        <v>605.71602912419849</v>
      </c>
    </row>
    <row r="1149" spans="1:9" x14ac:dyDescent="0.3">
      <c r="A1149" s="23">
        <v>1131</v>
      </c>
      <c r="B1149" s="52">
        <v>5.5328503816921046E-2</v>
      </c>
      <c r="C1149" s="52">
        <v>0.27611071995326786</v>
      </c>
      <c r="D1149" s="52">
        <v>0.4418977332615508</v>
      </c>
      <c r="E1149" s="52">
        <v>0.20381342484238874</v>
      </c>
      <c r="F1149" s="52">
        <v>9.5294641135896543E-2</v>
      </c>
      <c r="G1149" s="52">
        <v>6.0053809738262923E-2</v>
      </c>
      <c r="H1149" s="52">
        <v>0.1144272442828741</v>
      </c>
      <c r="I1149" s="119">
        <v>371.2208556193055</v>
      </c>
    </row>
    <row r="1150" spans="1:9" x14ac:dyDescent="0.3">
      <c r="A1150" s="23">
        <v>1132</v>
      </c>
      <c r="B1150" s="52">
        <v>5.7588908855431026E-2</v>
      </c>
      <c r="C1150" s="52">
        <v>0.28450758738557186</v>
      </c>
      <c r="D1150" s="52">
        <v>0.63646275050417001</v>
      </c>
      <c r="E1150" s="52">
        <v>0.22044724071793978</v>
      </c>
      <c r="F1150" s="52">
        <v>9.1328530579063649E-2</v>
      </c>
      <c r="G1150" s="52">
        <v>5.1076486388236642E-2</v>
      </c>
      <c r="H1150" s="52">
        <v>0.10736375581424383</v>
      </c>
      <c r="I1150" s="119">
        <v>348.75505286686894</v>
      </c>
    </row>
    <row r="1151" spans="1:9" x14ac:dyDescent="0.3">
      <c r="A1151" s="23">
        <v>1133</v>
      </c>
      <c r="B1151" s="52">
        <v>7.6946880541005444E-2</v>
      </c>
      <c r="C1151" s="52">
        <v>0.29293164825532891</v>
      </c>
      <c r="D1151" s="52">
        <v>0.48496531467521964</v>
      </c>
      <c r="E1151" s="52">
        <v>0.1979968296372005</v>
      </c>
      <c r="F1151" s="52">
        <v>9.406120861111239E-2</v>
      </c>
      <c r="G1151" s="52">
        <v>6.3430004003329404E-2</v>
      </c>
      <c r="H1151" s="52">
        <v>9.0421333499937431E-2</v>
      </c>
      <c r="I1151" s="119">
        <v>607.61182856167363</v>
      </c>
    </row>
    <row r="1152" spans="1:9" x14ac:dyDescent="0.3">
      <c r="A1152" s="23">
        <v>1134</v>
      </c>
      <c r="B1152" s="52">
        <v>6.006548360834512E-2</v>
      </c>
      <c r="C1152" s="52">
        <v>0.28563838405893577</v>
      </c>
      <c r="D1152" s="52">
        <v>0.45137018652387623</v>
      </c>
      <c r="E1152" s="52">
        <v>0.19916860874294223</v>
      </c>
      <c r="F1152" s="52">
        <v>0.10062074017409536</v>
      </c>
      <c r="G1152" s="52">
        <v>6.5336987088010751E-2</v>
      </c>
      <c r="H1152" s="52">
        <v>9.3984457532762342E-2</v>
      </c>
      <c r="I1152" s="119">
        <v>411.45256710632833</v>
      </c>
    </row>
    <row r="1153" spans="1:9" x14ac:dyDescent="0.3">
      <c r="A1153" s="23">
        <v>1135</v>
      </c>
      <c r="B1153" s="52">
        <v>7.5479142977439156E-2</v>
      </c>
      <c r="C1153" s="52">
        <v>0.29230982638823877</v>
      </c>
      <c r="D1153" s="52">
        <v>0.5244266618817166</v>
      </c>
      <c r="E1153" s="52">
        <v>0.1816576633202302</v>
      </c>
      <c r="F1153" s="52">
        <v>9.9526707545410181E-2</v>
      </c>
      <c r="G1153" s="52">
        <v>6.4680369634783533E-2</v>
      </c>
      <c r="H1153" s="52">
        <v>9.9615954784692692E-2</v>
      </c>
      <c r="I1153" s="119">
        <v>492.73684117563408</v>
      </c>
    </row>
    <row r="1154" spans="1:9" x14ac:dyDescent="0.3">
      <c r="A1154" s="23">
        <v>1136</v>
      </c>
      <c r="B1154" s="52">
        <v>6.4650927205459771E-2</v>
      </c>
      <c r="C1154" s="52">
        <v>0.2879684801719008</v>
      </c>
      <c r="D1154" s="52">
        <v>0.52808150045127678</v>
      </c>
      <c r="E1154" s="52">
        <v>0.19211246855282088</v>
      </c>
      <c r="F1154" s="52">
        <v>8.8467062246166323E-2</v>
      </c>
      <c r="G1154" s="52">
        <v>3.2673336867334389E-2</v>
      </c>
      <c r="H1154" s="52">
        <v>0.10628616932176393</v>
      </c>
      <c r="I1154" s="119">
        <v>231.25941925636167</v>
      </c>
    </row>
    <row r="1155" spans="1:9" x14ac:dyDescent="0.3">
      <c r="A1155" s="23">
        <v>1137</v>
      </c>
      <c r="B1155" s="52">
        <v>5.3125725859638109E-2</v>
      </c>
      <c r="C1155" s="52">
        <v>0.29155523585272869</v>
      </c>
      <c r="D1155" s="52">
        <v>0.52488703815789084</v>
      </c>
      <c r="E1155" s="52">
        <v>0.19895293639213787</v>
      </c>
      <c r="F1155" s="52">
        <v>8.5912179272947142E-2</v>
      </c>
      <c r="G1155" s="52">
        <v>4.0417156952160922E-2</v>
      </c>
      <c r="H1155" s="52">
        <v>9.0976556708602663E-2</v>
      </c>
      <c r="I1155" s="119">
        <v>315.28969850724212</v>
      </c>
    </row>
    <row r="1156" spans="1:9" x14ac:dyDescent="0.3">
      <c r="A1156" s="23">
        <v>1138</v>
      </c>
      <c r="B1156" s="52">
        <v>6.4123025376684059E-2</v>
      </c>
      <c r="C1156" s="52">
        <v>0.26780495076934863</v>
      </c>
      <c r="D1156" s="52">
        <v>0.61531504733189069</v>
      </c>
      <c r="E1156" s="52">
        <v>0.19647846203892397</v>
      </c>
      <c r="F1156" s="52">
        <v>9.0892784153630252E-2</v>
      </c>
      <c r="G1156" s="52">
        <v>4.0277260612845207E-2</v>
      </c>
      <c r="H1156" s="52">
        <v>0.10801953446702522</v>
      </c>
      <c r="I1156" s="119">
        <v>198.82358963527585</v>
      </c>
    </row>
    <row r="1157" spans="1:9" x14ac:dyDescent="0.3">
      <c r="A1157" s="23">
        <v>1139</v>
      </c>
      <c r="B1157" s="52">
        <v>7.0285966185877735E-2</v>
      </c>
      <c r="C1157" s="52">
        <v>0.30092474385047518</v>
      </c>
      <c r="D1157" s="52">
        <v>0.48089163687564906</v>
      </c>
      <c r="E1157" s="52">
        <v>0.15923616986954311</v>
      </c>
      <c r="F1157" s="52">
        <v>9.4196435038371842E-2</v>
      </c>
      <c r="G1157" s="52">
        <v>5.2120022017034438E-2</v>
      </c>
      <c r="H1157" s="52">
        <v>9.6491318769230186E-2</v>
      </c>
      <c r="I1157" s="119">
        <v>413.56428409365236</v>
      </c>
    </row>
    <row r="1158" spans="1:9" x14ac:dyDescent="0.3">
      <c r="A1158" s="23">
        <v>1140</v>
      </c>
      <c r="B1158" s="52">
        <v>6.0510874965146705E-2</v>
      </c>
      <c r="C1158" s="52">
        <v>0.29952477132589261</v>
      </c>
      <c r="D1158" s="52">
        <v>0.56425709406373636</v>
      </c>
      <c r="E1158" s="52">
        <v>0.18945231697444365</v>
      </c>
      <c r="F1158" s="52">
        <v>0.10254403436130624</v>
      </c>
      <c r="G1158" s="52">
        <v>4.64644715692792E-2</v>
      </c>
      <c r="H1158" s="52">
        <v>9.9995830634580604E-2</v>
      </c>
      <c r="I1158" s="119">
        <v>233.66601367802934</v>
      </c>
    </row>
    <row r="1159" spans="1:9" x14ac:dyDescent="0.3">
      <c r="A1159" s="23">
        <v>1141</v>
      </c>
      <c r="B1159" s="52">
        <v>6.2373812999581488E-2</v>
      </c>
      <c r="C1159" s="52">
        <v>0.28196578064611555</v>
      </c>
      <c r="D1159" s="52">
        <v>0.52241709822470161</v>
      </c>
      <c r="E1159" s="52">
        <v>0.18594771006969463</v>
      </c>
      <c r="F1159" s="52">
        <v>9.8463940504249989E-2</v>
      </c>
      <c r="G1159" s="52">
        <v>2.8910196455516617E-2</v>
      </c>
      <c r="H1159" s="52">
        <v>0.11119438194607251</v>
      </c>
      <c r="I1159" s="119">
        <v>120.73609659434534</v>
      </c>
    </row>
    <row r="1160" spans="1:9" x14ac:dyDescent="0.3">
      <c r="A1160" s="23">
        <v>1142</v>
      </c>
      <c r="B1160" s="52">
        <v>6.3594402520057713E-2</v>
      </c>
      <c r="C1160" s="52">
        <v>0.28903167910194399</v>
      </c>
      <c r="D1160" s="52">
        <v>0.66917472283917723</v>
      </c>
      <c r="E1160" s="52">
        <v>0.16642503884465534</v>
      </c>
      <c r="F1160" s="52">
        <v>9.3089368771867645E-2</v>
      </c>
      <c r="G1160" s="52">
        <v>3.7229085138959839E-2</v>
      </c>
      <c r="H1160" s="52">
        <v>0.10087714079601161</v>
      </c>
      <c r="I1160" s="119">
        <v>224.64468654148848</v>
      </c>
    </row>
    <row r="1161" spans="1:9" x14ac:dyDescent="0.3">
      <c r="A1161" s="23">
        <v>1143</v>
      </c>
      <c r="B1161" s="52">
        <v>6.9036201294059657E-2</v>
      </c>
      <c r="C1161" s="52">
        <v>0.24784018250369416</v>
      </c>
      <c r="D1161" s="52">
        <v>0.45974127770658035</v>
      </c>
      <c r="E1161" s="52">
        <v>0.18269447101765809</v>
      </c>
      <c r="F1161" s="52">
        <v>9.7740500565927757E-2</v>
      </c>
      <c r="G1161" s="52">
        <v>5.2809721589187564E-2</v>
      </c>
      <c r="H1161" s="52">
        <v>0.10479079213422808</v>
      </c>
      <c r="I1161" s="119">
        <v>169.50533444538041</v>
      </c>
    </row>
    <row r="1162" spans="1:9" x14ac:dyDescent="0.3">
      <c r="A1162" s="23">
        <v>1144</v>
      </c>
      <c r="B1162" s="52">
        <v>6.5828255298348265E-2</v>
      </c>
      <c r="C1162" s="52">
        <v>0.29999483332243826</v>
      </c>
      <c r="D1162" s="52">
        <v>0.56772002592711701</v>
      </c>
      <c r="E1162" s="52">
        <v>0.17856708646584737</v>
      </c>
      <c r="F1162" s="52">
        <v>8.8618006794945567E-2</v>
      </c>
      <c r="G1162" s="52">
        <v>4.4676672001845948E-2</v>
      </c>
      <c r="H1162" s="52">
        <v>0.10740548008718301</v>
      </c>
      <c r="I1162" s="119">
        <v>387.36641983840923</v>
      </c>
    </row>
    <row r="1163" spans="1:9" x14ac:dyDescent="0.3">
      <c r="A1163" s="23">
        <v>1145</v>
      </c>
      <c r="B1163" s="52">
        <v>5.4194197620704418E-2</v>
      </c>
      <c r="C1163" s="52">
        <v>0.30682094595655657</v>
      </c>
      <c r="D1163" s="52">
        <v>0.56790260530378966</v>
      </c>
      <c r="E1163" s="52">
        <v>0.18164050937915671</v>
      </c>
      <c r="F1163" s="52">
        <v>9.4946545472916033E-2</v>
      </c>
      <c r="G1163" s="52">
        <v>4.1531241651262013E-2</v>
      </c>
      <c r="H1163" s="52">
        <v>9.7703946317978047E-2</v>
      </c>
      <c r="I1163" s="119">
        <v>277.00837922294568</v>
      </c>
    </row>
    <row r="1164" spans="1:9" x14ac:dyDescent="0.3">
      <c r="A1164" s="23">
        <v>1146</v>
      </c>
      <c r="B1164" s="52">
        <v>5.9760354909865712E-2</v>
      </c>
      <c r="C1164" s="52">
        <v>0.27206018237287166</v>
      </c>
      <c r="D1164" s="52">
        <v>0.51804888957393791</v>
      </c>
      <c r="E1164" s="52">
        <v>0.18248427899265296</v>
      </c>
      <c r="F1164" s="52">
        <v>9.6967166324026854E-2</v>
      </c>
      <c r="G1164" s="52">
        <v>5.1782672876255875E-2</v>
      </c>
      <c r="H1164" s="52">
        <v>7.9692830163162448E-2</v>
      </c>
      <c r="I1164" s="119">
        <v>241.53361249365409</v>
      </c>
    </row>
    <row r="1165" spans="1:9" x14ac:dyDescent="0.3">
      <c r="A1165" s="23">
        <v>1147</v>
      </c>
      <c r="B1165" s="52">
        <v>6.9014561163745783E-2</v>
      </c>
      <c r="C1165" s="52">
        <v>0.27489966273848176</v>
      </c>
      <c r="D1165" s="52">
        <v>0.47161459064477634</v>
      </c>
      <c r="E1165" s="52">
        <v>0.19241730388769346</v>
      </c>
      <c r="F1165" s="52">
        <v>0.10024722369593445</v>
      </c>
      <c r="G1165" s="52">
        <v>4.6205270724369592E-2</v>
      </c>
      <c r="H1165" s="52">
        <v>0.11410105507146696</v>
      </c>
      <c r="I1165" s="119">
        <v>190.95825215584622</v>
      </c>
    </row>
    <row r="1166" spans="1:9" x14ac:dyDescent="0.3">
      <c r="A1166" s="23">
        <v>1148</v>
      </c>
      <c r="B1166" s="52">
        <v>5.3572349976845714E-2</v>
      </c>
      <c r="C1166" s="52">
        <v>0.25519298329505663</v>
      </c>
      <c r="D1166" s="52">
        <v>0.48978464939089633</v>
      </c>
      <c r="E1166" s="52">
        <v>0.21675330072329929</v>
      </c>
      <c r="F1166" s="52">
        <v>9.2805999638168518E-2</v>
      </c>
      <c r="G1166" s="52">
        <v>5.2998925423294582E-2</v>
      </c>
      <c r="H1166" s="52">
        <v>0.10823217702076524</v>
      </c>
      <c r="I1166" s="119">
        <v>227.72236639555669</v>
      </c>
    </row>
    <row r="1167" spans="1:9" x14ac:dyDescent="0.3">
      <c r="A1167" s="23">
        <v>1149</v>
      </c>
      <c r="B1167" s="52">
        <v>7.1080598858591526E-2</v>
      </c>
      <c r="C1167" s="52">
        <v>0.29986552233334973</v>
      </c>
      <c r="D1167" s="52">
        <v>0.49907969782814449</v>
      </c>
      <c r="E1167" s="52">
        <v>0.19729586327303866</v>
      </c>
      <c r="F1167" s="52">
        <v>9.516103635667475E-2</v>
      </c>
      <c r="G1167" s="52">
        <v>5.0410983579382493E-2</v>
      </c>
      <c r="H1167" s="52">
        <v>0.1173921147312969</v>
      </c>
      <c r="I1167" s="119">
        <v>375.01049806673205</v>
      </c>
    </row>
    <row r="1168" spans="1:9" x14ac:dyDescent="0.3">
      <c r="A1168" s="23">
        <v>1150</v>
      </c>
      <c r="B1168" s="52">
        <v>7.6752227455060357E-2</v>
      </c>
      <c r="C1168" s="52">
        <v>0.28868029215252372</v>
      </c>
      <c r="D1168" s="52">
        <v>0.48016936474358074</v>
      </c>
      <c r="E1168" s="52">
        <v>0.20671706929344677</v>
      </c>
      <c r="F1168" s="52">
        <v>9.2644676003989387E-2</v>
      </c>
      <c r="G1168" s="52">
        <v>5.7350326107503638E-2</v>
      </c>
      <c r="H1168" s="52">
        <v>0.10190196473529151</v>
      </c>
      <c r="I1168" s="119">
        <v>488.40900421826365</v>
      </c>
    </row>
    <row r="1169" spans="1:9" x14ac:dyDescent="0.3">
      <c r="A1169" s="23">
        <v>1151</v>
      </c>
      <c r="B1169" s="52">
        <v>5.02774370355209E-2</v>
      </c>
      <c r="C1169" s="52">
        <v>0.2855129924421157</v>
      </c>
      <c r="D1169" s="52">
        <v>0.73134355534569562</v>
      </c>
      <c r="E1169" s="52">
        <v>0.18670060905519378</v>
      </c>
      <c r="F1169" s="52">
        <v>9.6708919184688505E-2</v>
      </c>
      <c r="G1169" s="52">
        <v>4.9134557082739422E-2</v>
      </c>
      <c r="H1169" s="52">
        <v>0.11299600336343885</v>
      </c>
      <c r="I1169" s="119">
        <v>248.95054302755605</v>
      </c>
    </row>
    <row r="1170" spans="1:9" x14ac:dyDescent="0.3">
      <c r="A1170" s="23">
        <v>1152</v>
      </c>
      <c r="B1170" s="52">
        <v>6.6880903423194943E-2</v>
      </c>
      <c r="C1170" s="52">
        <v>0.30304139999999502</v>
      </c>
      <c r="D1170" s="52">
        <v>0.60709393013280399</v>
      </c>
      <c r="E1170" s="52">
        <v>0.18659101806178879</v>
      </c>
      <c r="F1170" s="52">
        <v>0.10141890149792347</v>
      </c>
      <c r="G1170" s="52">
        <v>5.3489403324092528E-2</v>
      </c>
      <c r="H1170" s="52">
        <v>0.11462911461876522</v>
      </c>
      <c r="I1170" s="119">
        <v>328.86959261621701</v>
      </c>
    </row>
    <row r="1171" spans="1:9" x14ac:dyDescent="0.3">
      <c r="A1171" s="23">
        <v>1153</v>
      </c>
      <c r="B1171" s="52">
        <v>6.3205604535744114E-2</v>
      </c>
      <c r="C1171" s="52">
        <v>0.28712880948814407</v>
      </c>
      <c r="D1171" s="52">
        <v>0.50506379739687568</v>
      </c>
      <c r="E1171" s="52">
        <v>0.20207774824235447</v>
      </c>
      <c r="F1171" s="52">
        <v>0.10309822190135727</v>
      </c>
      <c r="G1171" s="52">
        <v>5.405664081253489E-2</v>
      </c>
      <c r="H1171" s="52">
        <v>9.8085042820475671E-2</v>
      </c>
      <c r="I1171" s="119">
        <v>254.2974126652187</v>
      </c>
    </row>
    <row r="1172" spans="1:9" x14ac:dyDescent="0.3">
      <c r="A1172" s="23">
        <v>1154</v>
      </c>
      <c r="B1172" s="52">
        <v>6.9836205586954539E-2</v>
      </c>
      <c r="C1172" s="52">
        <v>0.26249602942496497</v>
      </c>
      <c r="D1172" s="52">
        <v>0.51621153971040534</v>
      </c>
      <c r="E1172" s="52">
        <v>0.15190513462268146</v>
      </c>
      <c r="F1172" s="52">
        <v>8.8802333203575057E-2</v>
      </c>
      <c r="G1172" s="52">
        <v>5.7681963342063658E-2</v>
      </c>
      <c r="H1172" s="52">
        <v>0.11640088698396256</v>
      </c>
      <c r="I1172" s="119">
        <v>427.28872075071558</v>
      </c>
    </row>
    <row r="1173" spans="1:9" x14ac:dyDescent="0.3">
      <c r="A1173" s="23">
        <v>1155</v>
      </c>
      <c r="B1173" s="52">
        <v>6.7314611402409713E-2</v>
      </c>
      <c r="C1173" s="52">
        <v>0.27322543295303947</v>
      </c>
      <c r="D1173" s="52">
        <v>0.75237613124957103</v>
      </c>
      <c r="E1173" s="52">
        <v>0.19406641644320755</v>
      </c>
      <c r="F1173" s="52">
        <v>9.2336140986284149E-2</v>
      </c>
      <c r="G1173" s="52">
        <v>7.2715565689594017E-2</v>
      </c>
      <c r="H1173" s="52">
        <v>9.4111913888004231E-2</v>
      </c>
      <c r="I1173" s="119">
        <v>845.85072946130697</v>
      </c>
    </row>
    <row r="1174" spans="1:9" x14ac:dyDescent="0.3">
      <c r="A1174" s="23">
        <v>1156</v>
      </c>
      <c r="B1174" s="52">
        <v>5.7706273021587019E-2</v>
      </c>
      <c r="C1174" s="52">
        <v>0.27513334301977904</v>
      </c>
      <c r="D1174" s="52">
        <v>0.47689552595621504</v>
      </c>
      <c r="E1174" s="52">
        <v>0.21874811825792942</v>
      </c>
      <c r="F1174" s="52">
        <v>9.1127352377093296E-2</v>
      </c>
      <c r="G1174" s="52">
        <v>5.1789529473458468E-2</v>
      </c>
      <c r="H1174" s="52">
        <v>0.10222594946347506</v>
      </c>
      <c r="I1174" s="119">
        <v>323.54956263705412</v>
      </c>
    </row>
    <row r="1175" spans="1:9" x14ac:dyDescent="0.3">
      <c r="A1175" s="23">
        <v>1157</v>
      </c>
      <c r="B1175" s="52">
        <v>6.1834424134682854E-2</v>
      </c>
      <c r="C1175" s="52">
        <v>0.2955775602021794</v>
      </c>
      <c r="D1175" s="52">
        <v>0.5240523226306959</v>
      </c>
      <c r="E1175" s="52">
        <v>0.20329812673634881</v>
      </c>
      <c r="F1175" s="52">
        <v>9.6954883543162659E-2</v>
      </c>
      <c r="G1175" s="52">
        <v>5.5230326382726416E-2</v>
      </c>
      <c r="H1175" s="52">
        <v>0.10313739681175407</v>
      </c>
      <c r="I1175" s="119">
        <v>370.75614740855326</v>
      </c>
    </row>
    <row r="1176" spans="1:9" x14ac:dyDescent="0.3">
      <c r="A1176" s="23">
        <v>1158</v>
      </c>
      <c r="B1176" s="52">
        <v>6.853135323772569E-2</v>
      </c>
      <c r="C1176" s="52">
        <v>0.29353626755806383</v>
      </c>
      <c r="D1176" s="52">
        <v>0.49853605726154748</v>
      </c>
      <c r="E1176" s="52">
        <v>0.17294028112638868</v>
      </c>
      <c r="F1176" s="52">
        <v>9.3823736348812067E-2</v>
      </c>
      <c r="G1176" s="52">
        <v>5.8459191472734887E-2</v>
      </c>
      <c r="H1176" s="52">
        <v>0.11102996623427178</v>
      </c>
      <c r="I1176" s="119">
        <v>484.26327317203254</v>
      </c>
    </row>
    <row r="1177" spans="1:9" x14ac:dyDescent="0.3">
      <c r="A1177" s="23">
        <v>1159</v>
      </c>
      <c r="B1177" s="52">
        <v>7.2779132156072374E-2</v>
      </c>
      <c r="C1177" s="52">
        <v>0.26882909641002706</v>
      </c>
      <c r="D1177" s="52">
        <v>0.44661943711228475</v>
      </c>
      <c r="E1177" s="52">
        <v>0.16862128472497032</v>
      </c>
      <c r="F1177" s="52">
        <v>8.5943581579241229E-2</v>
      </c>
      <c r="G1177" s="52">
        <v>4.0639315413507932E-2</v>
      </c>
      <c r="H1177" s="52">
        <v>0.1112640966202052</v>
      </c>
      <c r="I1177" s="119">
        <v>271.57428646888133</v>
      </c>
    </row>
    <row r="1178" spans="1:9" x14ac:dyDescent="0.3">
      <c r="A1178" s="23">
        <v>1160</v>
      </c>
      <c r="B1178" s="52">
        <v>7.0446254097998692E-2</v>
      </c>
      <c r="C1178" s="52">
        <v>0.24469036858917623</v>
      </c>
      <c r="D1178" s="52">
        <v>0.60122652634073592</v>
      </c>
      <c r="E1178" s="52">
        <v>0.21505071187504318</v>
      </c>
      <c r="F1178" s="52">
        <v>9.5839265326468026E-2</v>
      </c>
      <c r="G1178" s="52">
        <v>5.8548677127598085E-2</v>
      </c>
      <c r="H1178" s="52">
        <v>0.11682068226641135</v>
      </c>
      <c r="I1178" s="119">
        <v>235.16703429664213</v>
      </c>
    </row>
    <row r="1179" spans="1:9" x14ac:dyDescent="0.3">
      <c r="A1179" s="23">
        <v>1161</v>
      </c>
      <c r="B1179" s="52">
        <v>6.4011354112089705E-2</v>
      </c>
      <c r="C1179" s="52">
        <v>0.28666634546647296</v>
      </c>
      <c r="D1179" s="52">
        <v>0.50777185222358301</v>
      </c>
      <c r="E1179" s="52">
        <v>0.1783179652841459</v>
      </c>
      <c r="F1179" s="52">
        <v>9.8123107030297835E-2</v>
      </c>
      <c r="G1179" s="52">
        <v>4.0974882041677291E-2</v>
      </c>
      <c r="H1179" s="52">
        <v>9.7393783241006199E-2</v>
      </c>
      <c r="I1179" s="119">
        <v>201.51491966354024</v>
      </c>
    </row>
    <row r="1180" spans="1:9" x14ac:dyDescent="0.3">
      <c r="A1180" s="23">
        <v>1162</v>
      </c>
      <c r="B1180" s="52">
        <v>8.6835785869303878E-2</v>
      </c>
      <c r="C1180" s="52">
        <v>0.26579687801168356</v>
      </c>
      <c r="D1180" s="52">
        <v>0.52242841367206094</v>
      </c>
      <c r="E1180" s="52">
        <v>0.18637201537270157</v>
      </c>
      <c r="F1180" s="52">
        <v>0.10395742966956652</v>
      </c>
      <c r="G1180" s="52">
        <v>6.1096380843128087E-2</v>
      </c>
      <c r="H1180" s="52">
        <v>0.10398754298064873</v>
      </c>
      <c r="I1180" s="119">
        <v>277.97893655342824</v>
      </c>
    </row>
    <row r="1181" spans="1:9" x14ac:dyDescent="0.3">
      <c r="A1181" s="23">
        <v>1163</v>
      </c>
      <c r="B1181" s="52">
        <v>5.9156361839432452E-2</v>
      </c>
      <c r="C1181" s="52">
        <v>0.27847758625320723</v>
      </c>
      <c r="D1181" s="52">
        <v>0.51061225243349195</v>
      </c>
      <c r="E1181" s="52">
        <v>0.19862813676006344</v>
      </c>
      <c r="F1181" s="52">
        <v>0.10162585630981386</v>
      </c>
      <c r="G1181" s="52">
        <v>4.7327777399134255E-2</v>
      </c>
      <c r="H1181" s="52">
        <v>0.11378856986261873</v>
      </c>
      <c r="I1181" s="119">
        <v>182.73562960066985</v>
      </c>
    </row>
    <row r="1182" spans="1:9" x14ac:dyDescent="0.3">
      <c r="A1182" s="23">
        <v>1164</v>
      </c>
      <c r="B1182" s="52">
        <v>6.0587433064977658E-2</v>
      </c>
      <c r="C1182" s="52">
        <v>0.26660569652286253</v>
      </c>
      <c r="D1182" s="52">
        <v>0.46010541046106135</v>
      </c>
      <c r="E1182" s="52">
        <v>0.2023456633679081</v>
      </c>
      <c r="F1182" s="52">
        <v>9.8886572750900528E-2</v>
      </c>
      <c r="G1182" s="52">
        <v>6.2498895331985271E-2</v>
      </c>
      <c r="H1182" s="52">
        <v>0.10619693017276584</v>
      </c>
      <c r="I1182" s="119">
        <v>317.5753394213736</v>
      </c>
    </row>
    <row r="1183" spans="1:9" x14ac:dyDescent="0.3">
      <c r="A1183" s="23">
        <v>1165</v>
      </c>
      <c r="B1183" s="52">
        <v>7.2884538565902518E-2</v>
      </c>
      <c r="C1183" s="52">
        <v>0.25590027760721207</v>
      </c>
      <c r="D1183" s="52">
        <v>0.52355965772001789</v>
      </c>
      <c r="E1183" s="52">
        <v>0.18302264666321358</v>
      </c>
      <c r="F1183" s="52">
        <v>9.580354367750657E-2</v>
      </c>
      <c r="G1183" s="52">
        <v>4.1358967352766937E-2</v>
      </c>
      <c r="H1183" s="52">
        <v>0.10644966026658037</v>
      </c>
      <c r="I1183" s="119">
        <v>139.71399744910832</v>
      </c>
    </row>
    <row r="1184" spans="1:9" x14ac:dyDescent="0.3">
      <c r="A1184" s="23">
        <v>1166</v>
      </c>
      <c r="B1184" s="52">
        <v>7.1676261780244943E-2</v>
      </c>
      <c r="C1184" s="52">
        <v>0.28932213268981477</v>
      </c>
      <c r="D1184" s="52">
        <v>0.62845300801111292</v>
      </c>
      <c r="E1184" s="52">
        <v>0.17668151753814071</v>
      </c>
      <c r="F1184" s="52">
        <v>9.2127217839425679E-2</v>
      </c>
      <c r="G1184" s="52">
        <v>4.100541366038734E-2</v>
      </c>
      <c r="H1184" s="52">
        <v>0.1132126988137559</v>
      </c>
      <c r="I1184" s="119">
        <v>279.10546940813697</v>
      </c>
    </row>
    <row r="1185" spans="1:9" x14ac:dyDescent="0.3">
      <c r="A1185" s="23">
        <v>1167</v>
      </c>
      <c r="B1185" s="52">
        <v>5.606724609136006E-2</v>
      </c>
      <c r="C1185" s="52">
        <v>0.29297246350957856</v>
      </c>
      <c r="D1185" s="52">
        <v>0.47870261471820735</v>
      </c>
      <c r="E1185" s="52">
        <v>0.20698093543757723</v>
      </c>
      <c r="F1185" s="52">
        <v>0.10328802317297829</v>
      </c>
      <c r="G1185" s="52">
        <v>5.0192406396118217E-2</v>
      </c>
      <c r="H1185" s="52">
        <v>0.10389008295705757</v>
      </c>
      <c r="I1185" s="119">
        <v>226.90466787464533</v>
      </c>
    </row>
    <row r="1186" spans="1:9" x14ac:dyDescent="0.3">
      <c r="A1186" s="23">
        <v>1168</v>
      </c>
      <c r="B1186" s="52">
        <v>7.0231039458128669E-2</v>
      </c>
      <c r="C1186" s="52">
        <v>0.30208070384419894</v>
      </c>
      <c r="D1186" s="52">
        <v>0.4742986958456773</v>
      </c>
      <c r="E1186" s="52">
        <v>0.18748130395018694</v>
      </c>
      <c r="F1186" s="52">
        <v>9.4580825911645877E-2</v>
      </c>
      <c r="G1186" s="52">
        <v>6.6110010135622246E-2</v>
      </c>
      <c r="H1186" s="52">
        <v>9.4051685707314828E-2</v>
      </c>
      <c r="I1186" s="119">
        <v>692.93786809665551</v>
      </c>
    </row>
    <row r="1187" spans="1:9" x14ac:dyDescent="0.3">
      <c r="A1187" s="23">
        <v>1169</v>
      </c>
      <c r="B1187" s="52">
        <v>7.1981770183911414E-2</v>
      </c>
      <c r="C1187" s="52">
        <v>0.2751626363861468</v>
      </c>
      <c r="D1187" s="52">
        <v>0.48037680645163011</v>
      </c>
      <c r="E1187" s="52">
        <v>0.1611670487273002</v>
      </c>
      <c r="F1187" s="52">
        <v>8.6452206485511843E-2</v>
      </c>
      <c r="G1187" s="52">
        <v>5.0067245415271092E-2</v>
      </c>
      <c r="H1187" s="52">
        <v>0.10862003970875199</v>
      </c>
      <c r="I1187" s="119">
        <v>408.2297920165596</v>
      </c>
    </row>
    <row r="1188" spans="1:9" x14ac:dyDescent="0.3">
      <c r="A1188" s="23">
        <v>1170</v>
      </c>
      <c r="B1188" s="52">
        <v>5.5785838582517497E-2</v>
      </c>
      <c r="C1188" s="52">
        <v>0.2822741334135746</v>
      </c>
      <c r="D1188" s="52">
        <v>0.45446580151015381</v>
      </c>
      <c r="E1188" s="52">
        <v>0.20716621372852939</v>
      </c>
      <c r="F1188" s="52">
        <v>0.10143992612756492</v>
      </c>
      <c r="G1188" s="52">
        <v>4.5932691558863689E-2</v>
      </c>
      <c r="H1188" s="52">
        <v>9.7068837841060698E-2</v>
      </c>
      <c r="I1188" s="119">
        <v>181.08260874701932</v>
      </c>
    </row>
    <row r="1189" spans="1:9" x14ac:dyDescent="0.3">
      <c r="A1189" s="23">
        <v>1171</v>
      </c>
      <c r="B1189" s="52">
        <v>6.5858824679521061E-2</v>
      </c>
      <c r="C1189" s="52">
        <v>0.25998744377193511</v>
      </c>
      <c r="D1189" s="52">
        <v>0.62489906674662254</v>
      </c>
      <c r="E1189" s="52">
        <v>0.2102006375372992</v>
      </c>
      <c r="F1189" s="52">
        <v>0.1046614522390554</v>
      </c>
      <c r="G1189" s="52">
        <v>5.2032068381674443E-2</v>
      </c>
      <c r="H1189" s="52">
        <v>0.11808900324061576</v>
      </c>
      <c r="I1189" s="119">
        <v>142.37705746087465</v>
      </c>
    </row>
    <row r="1190" spans="1:9" x14ac:dyDescent="0.3">
      <c r="A1190" s="23">
        <v>1172</v>
      </c>
      <c r="B1190" s="52">
        <v>6.9868047175049353E-2</v>
      </c>
      <c r="C1190" s="52">
        <v>0.26831735229683068</v>
      </c>
      <c r="D1190" s="52">
        <v>0.65728806619073354</v>
      </c>
      <c r="E1190" s="52">
        <v>0.18679153866268827</v>
      </c>
      <c r="F1190" s="52">
        <v>8.0579667222018286E-2</v>
      </c>
      <c r="G1190" s="52">
        <v>6.2506590405633458E-2</v>
      </c>
      <c r="H1190" s="52">
        <v>0.11498370481338549</v>
      </c>
      <c r="I1190" s="119">
        <v>952.54203936564795</v>
      </c>
    </row>
    <row r="1191" spans="1:9" x14ac:dyDescent="0.3">
      <c r="A1191" s="23">
        <v>1173</v>
      </c>
      <c r="B1191" s="52">
        <v>5.3758221069731903E-2</v>
      </c>
      <c r="C1191" s="52">
        <v>0.28973275601362314</v>
      </c>
      <c r="D1191" s="52">
        <v>0.53433054803385571</v>
      </c>
      <c r="E1191" s="52">
        <v>0.17220910964155933</v>
      </c>
      <c r="F1191" s="52">
        <v>9.310874404532643E-2</v>
      </c>
      <c r="G1191" s="52">
        <v>5.1183690843136898E-2</v>
      </c>
      <c r="H1191" s="52">
        <v>8.9441304079283385E-2</v>
      </c>
      <c r="I1191" s="119">
        <v>335.86864095683183</v>
      </c>
    </row>
    <row r="1192" spans="1:9" x14ac:dyDescent="0.3">
      <c r="A1192" s="23">
        <v>1174</v>
      </c>
      <c r="B1192" s="52">
        <v>7.348505425109178E-2</v>
      </c>
      <c r="C1192" s="52">
        <v>0.27963052329237348</v>
      </c>
      <c r="D1192" s="52">
        <v>0.52613632411151934</v>
      </c>
      <c r="E1192" s="52">
        <v>0.20542542680864462</v>
      </c>
      <c r="F1192" s="52">
        <v>9.7542755705837217E-2</v>
      </c>
      <c r="G1192" s="52">
        <v>5.9432514392474427E-2</v>
      </c>
      <c r="H1192" s="52">
        <v>8.8059322172190951E-2</v>
      </c>
      <c r="I1192" s="119">
        <v>380.65241086692373</v>
      </c>
    </row>
    <row r="1193" spans="1:9" x14ac:dyDescent="0.3">
      <c r="A1193" s="23">
        <v>1175</v>
      </c>
      <c r="B1193" s="52">
        <v>5.80978491182228E-2</v>
      </c>
      <c r="C1193" s="52">
        <v>0.28181957930435564</v>
      </c>
      <c r="D1193" s="52">
        <v>0.67721422836165379</v>
      </c>
      <c r="E1193" s="52">
        <v>0.17113999189286366</v>
      </c>
      <c r="F1193" s="52">
        <v>0.10548217086576897</v>
      </c>
      <c r="G1193" s="52">
        <v>6.1175003425089192E-2</v>
      </c>
      <c r="H1193" s="52">
        <v>0.10293295935486887</v>
      </c>
      <c r="I1193" s="119">
        <v>266.51125445869445</v>
      </c>
    </row>
    <row r="1194" spans="1:9" x14ac:dyDescent="0.3">
      <c r="A1194" s="23">
        <v>1176</v>
      </c>
      <c r="B1194" s="52">
        <v>5.5240383736822343E-2</v>
      </c>
      <c r="C1194" s="52">
        <v>0.29881900162891423</v>
      </c>
      <c r="D1194" s="52">
        <v>0.74833784130308767</v>
      </c>
      <c r="E1194" s="52">
        <v>0.18563023592011757</v>
      </c>
      <c r="F1194" s="52">
        <v>8.5979281045337252E-2</v>
      </c>
      <c r="G1194" s="52">
        <v>3.8833866932078263E-2</v>
      </c>
      <c r="H1194" s="52">
        <v>9.3309932483734925E-2</v>
      </c>
      <c r="I1194" s="119">
        <v>328.02232277351249</v>
      </c>
    </row>
    <row r="1195" spans="1:9" x14ac:dyDescent="0.3">
      <c r="A1195" s="23">
        <v>1177</v>
      </c>
      <c r="B1195" s="52">
        <v>5.1541669931897668E-2</v>
      </c>
      <c r="C1195" s="52">
        <v>0.28689784879234304</v>
      </c>
      <c r="D1195" s="52">
        <v>0.71040081488234963</v>
      </c>
      <c r="E1195" s="52">
        <v>0.19587299220898591</v>
      </c>
      <c r="F1195" s="52">
        <v>9.7209952505324909E-2</v>
      </c>
      <c r="G1195" s="52">
        <v>5.4549585632856432E-2</v>
      </c>
      <c r="H1195" s="52">
        <v>0.11807818210972207</v>
      </c>
      <c r="I1195" s="119">
        <v>304.09983748161136</v>
      </c>
    </row>
    <row r="1196" spans="1:9" x14ac:dyDescent="0.3">
      <c r="A1196" s="23">
        <v>1178</v>
      </c>
      <c r="B1196" s="52">
        <v>5.5853993641814023E-2</v>
      </c>
      <c r="C1196" s="52">
        <v>0.27855239985088398</v>
      </c>
      <c r="D1196" s="52">
        <v>0.47566627863211652</v>
      </c>
      <c r="E1196" s="52">
        <v>0.1986273359640954</v>
      </c>
      <c r="F1196" s="52">
        <v>8.9802116147244412E-2</v>
      </c>
      <c r="G1196" s="52">
        <v>4.8149491219357743E-2</v>
      </c>
      <c r="H1196" s="52">
        <v>0.10267918365330156</v>
      </c>
      <c r="I1196" s="119">
        <v>307.73697202275133</v>
      </c>
    </row>
    <row r="1197" spans="1:9" x14ac:dyDescent="0.3">
      <c r="A1197" s="23">
        <v>1179</v>
      </c>
      <c r="B1197" s="52">
        <v>7.2812749810124117E-2</v>
      </c>
      <c r="C1197" s="52">
        <v>0.28374628900270837</v>
      </c>
      <c r="D1197" s="52">
        <v>0.48044537535330517</v>
      </c>
      <c r="E1197" s="52">
        <v>0.17048934508329427</v>
      </c>
      <c r="F1197" s="52">
        <v>0.10170075397548249</v>
      </c>
      <c r="G1197" s="52">
        <v>6.139653308910277E-2</v>
      </c>
      <c r="H1197" s="52">
        <v>9.4958805976692623E-2</v>
      </c>
      <c r="I1197" s="119">
        <v>357.28813595835811</v>
      </c>
    </row>
    <row r="1198" spans="1:9" x14ac:dyDescent="0.3">
      <c r="A1198" s="23">
        <v>1180</v>
      </c>
      <c r="B1198" s="52">
        <v>8.7690824893117372E-2</v>
      </c>
      <c r="C1198" s="52">
        <v>0.25712912575370855</v>
      </c>
      <c r="D1198" s="52">
        <v>0.46084094796768821</v>
      </c>
      <c r="E1198" s="52">
        <v>0.18202201694404435</v>
      </c>
      <c r="F1198" s="52">
        <v>9.3729024355057616E-2</v>
      </c>
      <c r="G1198" s="52">
        <v>4.1440620009826019E-2</v>
      </c>
      <c r="H1198" s="52">
        <v>0.12493518339083715</v>
      </c>
      <c r="I1198" s="119">
        <v>181.69270432106336</v>
      </c>
    </row>
    <row r="1199" spans="1:9" x14ac:dyDescent="0.3">
      <c r="A1199" s="23">
        <v>1181</v>
      </c>
      <c r="B1199" s="52">
        <v>6.3309606701582477E-2</v>
      </c>
      <c r="C1199" s="52">
        <v>0.28365499043724141</v>
      </c>
      <c r="D1199" s="52">
        <v>0.71767693331488636</v>
      </c>
      <c r="E1199" s="52">
        <v>0.20812258963889269</v>
      </c>
      <c r="F1199" s="52">
        <v>8.3953109795894959E-2</v>
      </c>
      <c r="G1199" s="52">
        <v>3.4109528655411114E-2</v>
      </c>
      <c r="H1199" s="52">
        <v>0.11799201841131426</v>
      </c>
      <c r="I1199" s="119">
        <v>269.57993246756666</v>
      </c>
    </row>
    <row r="1200" spans="1:9" x14ac:dyDescent="0.3">
      <c r="A1200" s="23">
        <v>1182</v>
      </c>
      <c r="B1200" s="52">
        <v>5.5808552733114206E-2</v>
      </c>
      <c r="C1200" s="52">
        <v>0.26282733397358454</v>
      </c>
      <c r="D1200" s="52">
        <v>0.5244194505528712</v>
      </c>
      <c r="E1200" s="52">
        <v>0.1955133051445225</v>
      </c>
      <c r="F1200" s="52">
        <v>0.1004508984196089</v>
      </c>
      <c r="G1200" s="52">
        <v>4.4537607254549694E-2</v>
      </c>
      <c r="H1200" s="52">
        <v>9.4584608016950927E-2</v>
      </c>
      <c r="I1200" s="119">
        <v>123.68408000353591</v>
      </c>
    </row>
    <row r="1201" spans="1:9" x14ac:dyDescent="0.3">
      <c r="A1201" s="23">
        <v>1183</v>
      </c>
      <c r="B1201" s="52">
        <v>6.5095187864422643E-2</v>
      </c>
      <c r="C1201" s="52">
        <v>0.30310074657838837</v>
      </c>
      <c r="D1201" s="52">
        <v>0.46500680238899877</v>
      </c>
      <c r="E1201" s="52">
        <v>0.20408666844120527</v>
      </c>
      <c r="F1201" s="52">
        <v>9.749373514179592E-2</v>
      </c>
      <c r="G1201" s="52">
        <v>5.6378593609160976E-2</v>
      </c>
      <c r="H1201" s="52">
        <v>0.1140343450458432</v>
      </c>
      <c r="I1201" s="119">
        <v>414.89883949916435</v>
      </c>
    </row>
    <row r="1202" spans="1:9" x14ac:dyDescent="0.3">
      <c r="A1202" s="23">
        <v>1184</v>
      </c>
      <c r="B1202" s="52">
        <v>7.287544855021337E-2</v>
      </c>
      <c r="C1202" s="52">
        <v>0.28603502232399919</v>
      </c>
      <c r="D1202" s="52">
        <v>0.44424725707770696</v>
      </c>
      <c r="E1202" s="52">
        <v>0.20914075824382966</v>
      </c>
      <c r="F1202" s="52">
        <v>9.8299115634397985E-2</v>
      </c>
      <c r="G1202" s="52">
        <v>4.7937842256480581E-2</v>
      </c>
      <c r="H1202" s="52">
        <v>0.10077989466575518</v>
      </c>
      <c r="I1202" s="119">
        <v>265.59834155904554</v>
      </c>
    </row>
    <row r="1203" spans="1:9" x14ac:dyDescent="0.3">
      <c r="A1203" s="23">
        <v>1185</v>
      </c>
      <c r="B1203" s="52">
        <v>5.9689128089068517E-2</v>
      </c>
      <c r="C1203" s="52">
        <v>0.26060363422270155</v>
      </c>
      <c r="D1203" s="52">
        <v>0.58857653994048276</v>
      </c>
      <c r="E1203" s="52">
        <v>0.1860144458479483</v>
      </c>
      <c r="F1203" s="52">
        <v>9.4260627245606021E-2</v>
      </c>
      <c r="G1203" s="52">
        <v>4.9757492749514035E-2</v>
      </c>
      <c r="H1203" s="52">
        <v>0.11365502580916859</v>
      </c>
      <c r="I1203" s="119">
        <v>210.85988563639228</v>
      </c>
    </row>
    <row r="1204" spans="1:9" x14ac:dyDescent="0.3">
      <c r="A1204" s="23">
        <v>1186</v>
      </c>
      <c r="B1204" s="52">
        <v>6.5765314161353755E-2</v>
      </c>
      <c r="C1204" s="52">
        <v>0.26856535193646708</v>
      </c>
      <c r="D1204" s="52">
        <v>0.73221654867594033</v>
      </c>
      <c r="E1204" s="52">
        <v>0.19413906641919121</v>
      </c>
      <c r="F1204" s="52">
        <v>9.9888618068738222E-2</v>
      </c>
      <c r="G1204" s="52">
        <v>5.2167640433208012E-2</v>
      </c>
      <c r="H1204" s="52">
        <v>9.8009260503707549E-2</v>
      </c>
      <c r="I1204" s="119">
        <v>212.61966238971411</v>
      </c>
    </row>
    <row r="1205" spans="1:9" x14ac:dyDescent="0.3">
      <c r="A1205" s="23">
        <v>1187</v>
      </c>
      <c r="B1205" s="52">
        <v>8.7266220433198538E-2</v>
      </c>
      <c r="C1205" s="52">
        <v>0.30330246610148859</v>
      </c>
      <c r="D1205" s="52">
        <v>0.48785499534065052</v>
      </c>
      <c r="E1205" s="52">
        <v>0.22146249060428652</v>
      </c>
      <c r="F1205" s="52">
        <v>9.2058989985304179E-2</v>
      </c>
      <c r="G1205" s="52">
        <v>4.3098900863488505E-2</v>
      </c>
      <c r="H1205" s="52">
        <v>0.10078658295476389</v>
      </c>
      <c r="I1205" s="119">
        <v>384.17623007179805</v>
      </c>
    </row>
    <row r="1206" spans="1:9" x14ac:dyDescent="0.3">
      <c r="A1206" s="23">
        <v>1188</v>
      </c>
      <c r="B1206" s="52">
        <v>7.0270876752375269E-2</v>
      </c>
      <c r="C1206" s="52">
        <v>0.28367040776203528</v>
      </c>
      <c r="D1206" s="52">
        <v>0.43070792164432048</v>
      </c>
      <c r="E1206" s="52">
        <v>0.19279745106720866</v>
      </c>
      <c r="F1206" s="52">
        <v>9.3197544903143026E-2</v>
      </c>
      <c r="G1206" s="52">
        <v>4.7775371896229261E-2</v>
      </c>
      <c r="H1206" s="52">
        <v>0.10832431709435683</v>
      </c>
      <c r="I1206" s="119">
        <v>308.59612841052842</v>
      </c>
    </row>
    <row r="1207" spans="1:9" x14ac:dyDescent="0.3">
      <c r="A1207" s="23">
        <v>1189</v>
      </c>
      <c r="B1207" s="52">
        <v>6.6506036116371806E-2</v>
      </c>
      <c r="C1207" s="52">
        <v>0.27168894929642162</v>
      </c>
      <c r="D1207" s="52">
        <v>0.4621827287776365</v>
      </c>
      <c r="E1207" s="52">
        <v>0.20583186990396102</v>
      </c>
      <c r="F1207" s="52">
        <v>0.10383178409302955</v>
      </c>
      <c r="G1207" s="52">
        <v>6.0195799793080373E-2</v>
      </c>
      <c r="H1207" s="52">
        <v>9.6469371291042369E-2</v>
      </c>
      <c r="I1207" s="119">
        <v>255.46300513639082</v>
      </c>
    </row>
    <row r="1208" spans="1:9" x14ac:dyDescent="0.3">
      <c r="A1208" s="23">
        <v>1190</v>
      </c>
      <c r="B1208" s="52">
        <v>7.2573179566214716E-2</v>
      </c>
      <c r="C1208" s="52">
        <v>0.27555016036224111</v>
      </c>
      <c r="D1208" s="52">
        <v>0.64484110885988333</v>
      </c>
      <c r="E1208" s="52">
        <v>0.19553374986624072</v>
      </c>
      <c r="F1208" s="52">
        <v>8.7492469919263613E-2</v>
      </c>
      <c r="G1208" s="52">
        <v>4.6741874203427715E-2</v>
      </c>
      <c r="H1208" s="52">
        <v>0.10161237718374286</v>
      </c>
      <c r="I1208" s="119">
        <v>346.68517409899823</v>
      </c>
    </row>
    <row r="1209" spans="1:9" x14ac:dyDescent="0.3">
      <c r="A1209" s="23">
        <v>1191</v>
      </c>
      <c r="B1209" s="52">
        <v>5.9486869894179686E-2</v>
      </c>
      <c r="C1209" s="52">
        <v>0.30145130990555469</v>
      </c>
      <c r="D1209" s="52">
        <v>0.55848204993577732</v>
      </c>
      <c r="E1209" s="52">
        <v>0.20229976776600334</v>
      </c>
      <c r="F1209" s="52">
        <v>9.86966369955357E-2</v>
      </c>
      <c r="G1209" s="52">
        <v>3.3499775708816695E-2</v>
      </c>
      <c r="H1209" s="52">
        <v>0.11471619827005454</v>
      </c>
      <c r="I1209" s="119">
        <v>187.00714563171047</v>
      </c>
    </row>
    <row r="1210" spans="1:9" x14ac:dyDescent="0.3">
      <c r="A1210" s="23">
        <v>1192</v>
      </c>
      <c r="B1210" s="52">
        <v>6.8875534317665132E-2</v>
      </c>
      <c r="C1210" s="52">
        <v>0.28090499053275814</v>
      </c>
      <c r="D1210" s="52">
        <v>0.53150241215532279</v>
      </c>
      <c r="E1210" s="52">
        <v>0.20771977118083373</v>
      </c>
      <c r="F1210" s="52">
        <v>0.1020083488307308</v>
      </c>
      <c r="G1210" s="52">
        <v>4.038027239355748E-2</v>
      </c>
      <c r="H1210" s="52">
        <v>9.7179143089628939E-2</v>
      </c>
      <c r="I1210" s="119">
        <v>160.09877096820611</v>
      </c>
    </row>
    <row r="1211" spans="1:9" x14ac:dyDescent="0.3">
      <c r="A1211" s="23">
        <v>1193</v>
      </c>
      <c r="B1211" s="52">
        <v>5.4669181926022763E-2</v>
      </c>
      <c r="C1211" s="52">
        <v>0.25725995325999385</v>
      </c>
      <c r="D1211" s="52">
        <v>0.48888340140934156</v>
      </c>
      <c r="E1211" s="52">
        <v>0.19158302001600536</v>
      </c>
      <c r="F1211" s="52">
        <v>9.3223436924775235E-2</v>
      </c>
      <c r="G1211" s="52">
        <v>3.3402666983800906E-2</v>
      </c>
      <c r="H1211" s="52">
        <v>0.11168703450878342</v>
      </c>
      <c r="I1211" s="119">
        <v>95.382595569020552</v>
      </c>
    </row>
    <row r="1212" spans="1:9" x14ac:dyDescent="0.3">
      <c r="A1212" s="23">
        <v>1194</v>
      </c>
      <c r="B1212" s="52">
        <v>6.6856452036422001E-2</v>
      </c>
      <c r="C1212" s="52">
        <v>0.27634992602506514</v>
      </c>
      <c r="D1212" s="52">
        <v>0.48656685462979271</v>
      </c>
      <c r="E1212" s="52">
        <v>0.18759702726845137</v>
      </c>
      <c r="F1212" s="52">
        <v>9.4277617671735897E-2</v>
      </c>
      <c r="G1212" s="52">
        <v>5.9822744605590936E-2</v>
      </c>
      <c r="H1212" s="52">
        <v>0.10236563123641441</v>
      </c>
      <c r="I1212" s="119">
        <v>414.96607830428286</v>
      </c>
    </row>
    <row r="1213" spans="1:9" x14ac:dyDescent="0.3">
      <c r="A1213" s="23">
        <v>1195</v>
      </c>
      <c r="B1213" s="52">
        <v>7.1761126418189269E-2</v>
      </c>
      <c r="C1213" s="52">
        <v>0.29951140673376747</v>
      </c>
      <c r="D1213" s="52">
        <v>0.49611242480871764</v>
      </c>
      <c r="E1213" s="52">
        <v>0.19060892723710476</v>
      </c>
      <c r="F1213" s="52">
        <v>8.8909186304291885E-2</v>
      </c>
      <c r="G1213" s="52">
        <v>6.0969767809554778E-2</v>
      </c>
      <c r="H1213" s="52">
        <v>9.6329105531109821E-2</v>
      </c>
      <c r="I1213" s="119">
        <v>719.29037124914134</v>
      </c>
    </row>
    <row r="1214" spans="1:9" x14ac:dyDescent="0.3">
      <c r="A1214" s="23">
        <v>1196</v>
      </c>
      <c r="B1214" s="52">
        <v>7.538914831201235E-2</v>
      </c>
      <c r="C1214" s="52">
        <v>0.28659358392825901</v>
      </c>
      <c r="D1214" s="52">
        <v>0.52209539300367114</v>
      </c>
      <c r="E1214" s="52">
        <v>0.19939100752521302</v>
      </c>
      <c r="F1214" s="52">
        <v>8.2836686299362236E-2</v>
      </c>
      <c r="G1214" s="52">
        <v>7.4468057423533726E-2</v>
      </c>
      <c r="H1214" s="52">
        <v>0.10170990819886225</v>
      </c>
      <c r="I1214" s="119">
        <v>2642.2311920902102</v>
      </c>
    </row>
    <row r="1215" spans="1:9" x14ac:dyDescent="0.3">
      <c r="A1215" s="23">
        <v>1197</v>
      </c>
      <c r="B1215" s="52">
        <v>5.6814122022259106E-2</v>
      </c>
      <c r="C1215" s="52">
        <v>0.28760296863984602</v>
      </c>
      <c r="D1215" s="52">
        <v>0.62575818230635227</v>
      </c>
      <c r="E1215" s="52">
        <v>0.19155668017022953</v>
      </c>
      <c r="F1215" s="52">
        <v>9.3111101252907419E-2</v>
      </c>
      <c r="G1215" s="52">
        <v>5.379640590271012E-2</v>
      </c>
      <c r="H1215" s="52">
        <v>0.10860615266712084</v>
      </c>
      <c r="I1215" s="119">
        <v>368.0059012354555</v>
      </c>
    </row>
    <row r="1216" spans="1:9" x14ac:dyDescent="0.3">
      <c r="A1216" s="23">
        <v>1198</v>
      </c>
      <c r="B1216" s="52">
        <v>8.2774819902881436E-2</v>
      </c>
      <c r="C1216" s="52">
        <v>0.27247904485837593</v>
      </c>
      <c r="D1216" s="52">
        <v>0.44982061503966797</v>
      </c>
      <c r="E1216" s="52">
        <v>0.17986413286123912</v>
      </c>
      <c r="F1216" s="52">
        <v>8.776903308726304E-2</v>
      </c>
      <c r="G1216" s="52">
        <v>4.6218956465998759E-2</v>
      </c>
      <c r="H1216" s="52">
        <v>9.7347535664665363E-2</v>
      </c>
      <c r="I1216" s="119">
        <v>344.84282762841434</v>
      </c>
    </row>
    <row r="1217" spans="1:9" x14ac:dyDescent="0.3">
      <c r="A1217" s="23">
        <v>1199</v>
      </c>
      <c r="B1217" s="52">
        <v>5.7820296632949048E-2</v>
      </c>
      <c r="C1217" s="52">
        <v>0.30093082686142714</v>
      </c>
      <c r="D1217" s="52">
        <v>0.61371565798708416</v>
      </c>
      <c r="E1217" s="52">
        <v>0.18324088376723</v>
      </c>
      <c r="F1217" s="52">
        <v>9.7862124940154976E-2</v>
      </c>
      <c r="G1217" s="52">
        <v>5.5947326263546579E-2</v>
      </c>
      <c r="H1217" s="52">
        <v>0.11616569795826963</v>
      </c>
      <c r="I1217" s="119">
        <v>377.22899780228028</v>
      </c>
    </row>
    <row r="1218" spans="1:9" x14ac:dyDescent="0.3">
      <c r="A1218" s="23">
        <v>1200</v>
      </c>
      <c r="B1218" s="52">
        <v>6.776231160350242E-2</v>
      </c>
      <c r="C1218" s="52">
        <v>0.29225329701264974</v>
      </c>
      <c r="D1218" s="52">
        <v>0.69327965955602378</v>
      </c>
      <c r="E1218" s="52">
        <v>0.20635470756004198</v>
      </c>
      <c r="F1218" s="52">
        <v>7.7551052178089649E-2</v>
      </c>
      <c r="G1218" s="52">
        <v>5.4567010729753257E-2</v>
      </c>
      <c r="H1218" s="52">
        <v>0.11589254063498441</v>
      </c>
      <c r="I1218" s="119">
        <v>886.34485538988952</v>
      </c>
    </row>
    <row r="1219" spans="1:9" x14ac:dyDescent="0.3">
      <c r="A1219" s="23">
        <v>1201</v>
      </c>
      <c r="B1219" s="52">
        <v>5.7117068985219677E-2</v>
      </c>
      <c r="C1219" s="52">
        <v>0.2889654560375477</v>
      </c>
      <c r="D1219" s="52">
        <v>0.49811248337373276</v>
      </c>
      <c r="E1219" s="52">
        <v>0.21262117811871867</v>
      </c>
      <c r="F1219" s="52">
        <v>8.585052667189641E-2</v>
      </c>
      <c r="G1219" s="52">
        <v>6.2833230345177987E-2</v>
      </c>
      <c r="H1219" s="52">
        <v>9.0170054460204346E-2</v>
      </c>
      <c r="I1219" s="119">
        <v>785.13309460376024</v>
      </c>
    </row>
    <row r="1220" spans="1:9" x14ac:dyDescent="0.3">
      <c r="A1220" s="23">
        <v>1202</v>
      </c>
      <c r="B1220" s="52">
        <v>4.8165014355540936E-2</v>
      </c>
      <c r="C1220" s="52">
        <v>0.30536435621638242</v>
      </c>
      <c r="D1220" s="52">
        <v>0.58256946378191454</v>
      </c>
      <c r="E1220" s="52">
        <v>0.19188370776955474</v>
      </c>
      <c r="F1220" s="52">
        <v>8.9508260529524528E-2</v>
      </c>
      <c r="G1220" s="52">
        <v>6.0980883362265301E-2</v>
      </c>
      <c r="H1220" s="52">
        <v>9.7725217287122912E-2</v>
      </c>
      <c r="I1220" s="119">
        <v>646.72122874065258</v>
      </c>
    </row>
    <row r="1221" spans="1:9" x14ac:dyDescent="0.3">
      <c r="A1221" s="23">
        <v>1203</v>
      </c>
      <c r="B1221" s="52">
        <v>5.6207521784376872E-2</v>
      </c>
      <c r="C1221" s="52">
        <v>0.29541417473031711</v>
      </c>
      <c r="D1221" s="52">
        <v>0.63210760904784324</v>
      </c>
      <c r="E1221" s="52">
        <v>0.19820169711368316</v>
      </c>
      <c r="F1221" s="52">
        <v>9.8261421627058948E-2</v>
      </c>
      <c r="G1221" s="52">
        <v>5.7950374058043173E-2</v>
      </c>
      <c r="H1221" s="52">
        <v>9.6370663998607498E-2</v>
      </c>
      <c r="I1221" s="119">
        <v>372.66943508671704</v>
      </c>
    </row>
    <row r="1222" spans="1:9" x14ac:dyDescent="0.3">
      <c r="A1222" s="23">
        <v>1204</v>
      </c>
      <c r="B1222" s="52">
        <v>5.4407582216179994E-2</v>
      </c>
      <c r="C1222" s="52">
        <v>0.3021259236060353</v>
      </c>
      <c r="D1222" s="52">
        <v>0.4598425061345579</v>
      </c>
      <c r="E1222" s="52">
        <v>0.16430178835223075</v>
      </c>
      <c r="F1222" s="52">
        <v>0.10292921702042944</v>
      </c>
      <c r="G1222" s="52">
        <v>5.6265126508824669E-2</v>
      </c>
      <c r="H1222" s="52">
        <v>8.4430797146687608E-2</v>
      </c>
      <c r="I1222" s="119">
        <v>309.15503104843248</v>
      </c>
    </row>
    <row r="1223" spans="1:9" x14ac:dyDescent="0.3">
      <c r="A1223" s="23">
        <v>1205</v>
      </c>
      <c r="B1223" s="52">
        <v>6.7294145889791004E-2</v>
      </c>
      <c r="C1223" s="52">
        <v>0.27873297387220741</v>
      </c>
      <c r="D1223" s="52">
        <v>0.56446600603779595</v>
      </c>
      <c r="E1223" s="52">
        <v>0.18519697878552366</v>
      </c>
      <c r="F1223" s="52">
        <v>9.919779547352367E-2</v>
      </c>
      <c r="G1223" s="52">
        <v>6.1709384905066555E-2</v>
      </c>
      <c r="H1223" s="52">
        <v>0.12304661530638081</v>
      </c>
      <c r="I1223" s="119">
        <v>367.93211922307347</v>
      </c>
    </row>
    <row r="1224" spans="1:9" x14ac:dyDescent="0.3">
      <c r="A1224" s="23">
        <v>1206</v>
      </c>
      <c r="B1224" s="52">
        <v>6.7516812901104825E-2</v>
      </c>
      <c r="C1224" s="52">
        <v>0.27212862289528228</v>
      </c>
      <c r="D1224" s="52">
        <v>0.52079974338869994</v>
      </c>
      <c r="E1224" s="52">
        <v>0.17587369494612004</v>
      </c>
      <c r="F1224" s="52">
        <v>0.10435453062136205</v>
      </c>
      <c r="G1224" s="52">
        <v>5.6856226957198192E-2</v>
      </c>
      <c r="H1224" s="52">
        <v>0.11160029330822353</v>
      </c>
      <c r="I1224" s="119">
        <v>222.517838230302</v>
      </c>
    </row>
    <row r="1225" spans="1:9" x14ac:dyDescent="0.3">
      <c r="A1225" s="23">
        <v>1207</v>
      </c>
      <c r="B1225" s="52">
        <v>5.4906722680574727E-2</v>
      </c>
      <c r="C1225" s="52">
        <v>0.30545685124371558</v>
      </c>
      <c r="D1225" s="52">
        <v>0.43190507357735675</v>
      </c>
      <c r="E1225" s="52">
        <v>0.20137968138263079</v>
      </c>
      <c r="F1225" s="52">
        <v>8.764655802721634E-2</v>
      </c>
      <c r="G1225" s="52">
        <v>4.8674381438276258E-2</v>
      </c>
      <c r="H1225" s="52">
        <v>0.1271331854751386</v>
      </c>
      <c r="I1225" s="119">
        <v>453.12847190331337</v>
      </c>
    </row>
    <row r="1226" spans="1:9" x14ac:dyDescent="0.3">
      <c r="A1226" s="23">
        <v>1208</v>
      </c>
      <c r="B1226" s="52">
        <v>6.0975095275475198E-2</v>
      </c>
      <c r="C1226" s="52">
        <v>0.29174907370331954</v>
      </c>
      <c r="D1226" s="52">
        <v>0.54345250918922672</v>
      </c>
      <c r="E1226" s="52">
        <v>0.18876128155077784</v>
      </c>
      <c r="F1226" s="52">
        <v>9.2668712088928323E-2</v>
      </c>
      <c r="G1226" s="52">
        <v>5.5247119318044116E-2</v>
      </c>
      <c r="H1226" s="52">
        <v>0.10227589420489376</v>
      </c>
      <c r="I1226" s="119">
        <v>424.0932858895319</v>
      </c>
    </row>
    <row r="1227" spans="1:9" x14ac:dyDescent="0.3">
      <c r="A1227" s="23">
        <v>1209</v>
      </c>
      <c r="B1227" s="52">
        <v>5.8085716261958353E-2</v>
      </c>
      <c r="C1227" s="52">
        <v>0.28745843608216326</v>
      </c>
      <c r="D1227" s="52">
        <v>0.49336148985235834</v>
      </c>
      <c r="E1227" s="52">
        <v>0.20018608643801528</v>
      </c>
      <c r="F1227" s="52">
        <v>9.6666416499838287E-2</v>
      </c>
      <c r="G1227" s="52">
        <v>4.1298401847699125E-2</v>
      </c>
      <c r="H1227" s="52">
        <v>0.11172272345732992</v>
      </c>
      <c r="I1227" s="119">
        <v>208.21975412653399</v>
      </c>
    </row>
    <row r="1228" spans="1:9" x14ac:dyDescent="0.3">
      <c r="A1228" s="23">
        <v>1210</v>
      </c>
      <c r="B1228" s="52">
        <v>6.4500887407706431E-2</v>
      </c>
      <c r="C1228" s="52">
        <v>0.29550719112943602</v>
      </c>
      <c r="D1228" s="52">
        <v>0.62514244477483338</v>
      </c>
      <c r="E1228" s="52">
        <v>0.1951849598129273</v>
      </c>
      <c r="F1228" s="52">
        <v>9.9463924441525756E-2</v>
      </c>
      <c r="G1228" s="52">
        <v>7.6837801563648819E-2</v>
      </c>
      <c r="H1228" s="52">
        <v>0.10541481162528343</v>
      </c>
      <c r="I1228" s="119">
        <v>824.35983460799366</v>
      </c>
    </row>
    <row r="1229" spans="1:9" x14ac:dyDescent="0.3">
      <c r="A1229" s="23">
        <v>1211</v>
      </c>
      <c r="B1229" s="52">
        <v>6.3392522471303364E-2</v>
      </c>
      <c r="C1229" s="52">
        <v>0.29642526183515572</v>
      </c>
      <c r="D1229" s="52">
        <v>0.44167570544436874</v>
      </c>
      <c r="E1229" s="52">
        <v>0.19422811935028422</v>
      </c>
      <c r="F1229" s="52">
        <v>8.7950545355608145E-2</v>
      </c>
      <c r="G1229" s="52">
        <v>4.3764931833521835E-2</v>
      </c>
      <c r="H1229" s="52">
        <v>0.11256702762367143</v>
      </c>
      <c r="I1229" s="119">
        <v>366.46748283274093</v>
      </c>
    </row>
    <row r="1230" spans="1:9" x14ac:dyDescent="0.3">
      <c r="A1230" s="23">
        <v>1212</v>
      </c>
      <c r="B1230" s="52">
        <v>6.1824367341602487E-2</v>
      </c>
      <c r="C1230" s="52">
        <v>0.2583012610987383</v>
      </c>
      <c r="D1230" s="52">
        <v>0.43474210578813083</v>
      </c>
      <c r="E1230" s="52">
        <v>0.21210788345879003</v>
      </c>
      <c r="F1230" s="52">
        <v>0.10000724284856821</v>
      </c>
      <c r="G1230" s="52">
        <v>6.0823793805611072E-2</v>
      </c>
      <c r="H1230" s="52">
        <v>9.1585929803675928E-2</v>
      </c>
      <c r="I1230" s="119">
        <v>248.94776245921065</v>
      </c>
    </row>
    <row r="1231" spans="1:9" x14ac:dyDescent="0.3">
      <c r="A1231" s="23">
        <v>1213</v>
      </c>
      <c r="B1231" s="52">
        <v>5.7174721815496127E-2</v>
      </c>
      <c r="C1231" s="52">
        <v>0.27779042552911759</v>
      </c>
      <c r="D1231" s="52">
        <v>0.71797044921193953</v>
      </c>
      <c r="E1231" s="52">
        <v>0.18445888674346841</v>
      </c>
      <c r="F1231" s="52">
        <v>9.162630625336142E-2</v>
      </c>
      <c r="G1231" s="52">
        <v>5.1360789623537115E-2</v>
      </c>
      <c r="H1231" s="52">
        <v>0.11726080506479902</v>
      </c>
      <c r="I1231" s="119">
        <v>320.47151141593326</v>
      </c>
    </row>
    <row r="1232" spans="1:9" x14ac:dyDescent="0.3">
      <c r="A1232" s="23">
        <v>1214</v>
      </c>
      <c r="B1232" s="52">
        <v>8.2497794816885892E-2</v>
      </c>
      <c r="C1232" s="52">
        <v>0.29643924825669865</v>
      </c>
      <c r="D1232" s="52">
        <v>0.60851001362894186</v>
      </c>
      <c r="E1232" s="52">
        <v>0.20937952562240456</v>
      </c>
      <c r="F1232" s="52">
        <v>8.8467632288184744E-2</v>
      </c>
      <c r="G1232" s="52">
        <v>5.6048477442005154E-2</v>
      </c>
      <c r="H1232" s="52">
        <v>0.11496270349452077</v>
      </c>
      <c r="I1232" s="119">
        <v>617.8026723131785</v>
      </c>
    </row>
    <row r="1233" spans="1:9" x14ac:dyDescent="0.3">
      <c r="A1233" s="23">
        <v>1215</v>
      </c>
      <c r="B1233" s="52">
        <v>6.1383272389854804E-2</v>
      </c>
      <c r="C1233" s="52">
        <v>0.29451195046180084</v>
      </c>
      <c r="D1233" s="52">
        <v>0.54448027306887004</v>
      </c>
      <c r="E1233" s="52">
        <v>0.19358525175944924</v>
      </c>
      <c r="F1233" s="52">
        <v>9.9267808702946311E-2</v>
      </c>
      <c r="G1233" s="52">
        <v>2.7578063916865032E-2</v>
      </c>
      <c r="H1233" s="52">
        <v>8.4939631339458338E-2</v>
      </c>
      <c r="I1233" s="119">
        <v>140.37647739034756</v>
      </c>
    </row>
    <row r="1234" spans="1:9" x14ac:dyDescent="0.3">
      <c r="A1234" s="23">
        <v>1216</v>
      </c>
      <c r="B1234" s="52">
        <v>5.4652487998896264E-2</v>
      </c>
      <c r="C1234" s="52">
        <v>0.28586774858358049</v>
      </c>
      <c r="D1234" s="52">
        <v>0.48891940298824943</v>
      </c>
      <c r="E1234" s="52">
        <v>0.196259535784824</v>
      </c>
      <c r="F1234" s="52">
        <v>9.8481989739315018E-2</v>
      </c>
      <c r="G1234" s="52">
        <v>4.099363008931392E-2</v>
      </c>
      <c r="H1234" s="52">
        <v>0.10143997644068273</v>
      </c>
      <c r="I1234" s="119">
        <v>181.53512889151705</v>
      </c>
    </row>
    <row r="1235" spans="1:9" x14ac:dyDescent="0.3">
      <c r="A1235" s="23">
        <v>1217</v>
      </c>
      <c r="B1235" s="52">
        <v>5.8943818879330048E-2</v>
      </c>
      <c r="C1235" s="52">
        <v>0.30301861502342442</v>
      </c>
      <c r="D1235" s="52">
        <v>0.70186429409090634</v>
      </c>
      <c r="E1235" s="52">
        <v>0.20396841715271374</v>
      </c>
      <c r="F1235" s="52">
        <v>0.10403982258895977</v>
      </c>
      <c r="G1235" s="52">
        <v>5.6681403425045657E-2</v>
      </c>
      <c r="H1235" s="52">
        <v>0.10584318280685964</v>
      </c>
      <c r="I1235" s="119">
        <v>312.53033181106088</v>
      </c>
    </row>
    <row r="1236" spans="1:9" x14ac:dyDescent="0.3">
      <c r="A1236" s="23">
        <v>1218</v>
      </c>
      <c r="B1236" s="52">
        <v>5.4983278820401119E-2</v>
      </c>
      <c r="C1236" s="52">
        <v>0.2587409894889961</v>
      </c>
      <c r="D1236" s="52">
        <v>0.67502161295115293</v>
      </c>
      <c r="E1236" s="52">
        <v>0.18764406898421215</v>
      </c>
      <c r="F1236" s="52">
        <v>8.8271959778251002E-2</v>
      </c>
      <c r="G1236" s="52">
        <v>5.2723830877077042E-2</v>
      </c>
      <c r="H1236" s="52">
        <v>0.10497858661132417</v>
      </c>
      <c r="I1236" s="119">
        <v>304.35409432421284</v>
      </c>
    </row>
    <row r="1237" spans="1:9" x14ac:dyDescent="0.3">
      <c r="A1237" s="23">
        <v>1219</v>
      </c>
      <c r="B1237" s="52">
        <v>6.1749101102506684E-2</v>
      </c>
      <c r="C1237" s="52">
        <v>0.28498490148001004</v>
      </c>
      <c r="D1237" s="52">
        <v>0.4634878977515336</v>
      </c>
      <c r="E1237" s="52">
        <v>0.19581330705075828</v>
      </c>
      <c r="F1237" s="52">
        <v>7.8375720576953092E-2</v>
      </c>
      <c r="G1237" s="52">
        <v>4.8542150249634264E-2</v>
      </c>
      <c r="H1237" s="52">
        <v>0.12082196028671555</v>
      </c>
      <c r="I1237" s="119">
        <v>582.649095706362</v>
      </c>
    </row>
    <row r="1238" spans="1:9" x14ac:dyDescent="0.3">
      <c r="A1238" s="23">
        <v>1220</v>
      </c>
      <c r="B1238" s="52">
        <v>5.4915302275323111E-2</v>
      </c>
      <c r="C1238" s="52">
        <v>0.29804068729971656</v>
      </c>
      <c r="D1238" s="52">
        <v>0.5796916954881528</v>
      </c>
      <c r="E1238" s="52">
        <v>0.18978035428532466</v>
      </c>
      <c r="F1238" s="52">
        <v>8.5524179959896987E-2</v>
      </c>
      <c r="G1238" s="52">
        <v>5.4408859839917154E-2</v>
      </c>
      <c r="H1238" s="52">
        <v>0.10024089078858152</v>
      </c>
      <c r="I1238" s="119">
        <v>577.03203223710693</v>
      </c>
    </row>
    <row r="1239" spans="1:9" x14ac:dyDescent="0.3">
      <c r="A1239" s="23">
        <v>1221</v>
      </c>
      <c r="B1239" s="52">
        <v>6.6706597724293631E-2</v>
      </c>
      <c r="C1239" s="52">
        <v>0.25613163126243427</v>
      </c>
      <c r="D1239" s="52">
        <v>0.73193270511172126</v>
      </c>
      <c r="E1239" s="52">
        <v>0.17118901729063041</v>
      </c>
      <c r="F1239" s="52">
        <v>9.7087808547202337E-2</v>
      </c>
      <c r="G1239" s="52">
        <v>4.5343616444860083E-2</v>
      </c>
      <c r="H1239" s="52">
        <v>0.10856072660206763</v>
      </c>
      <c r="I1239" s="119">
        <v>147.061208493691</v>
      </c>
    </row>
    <row r="1240" spans="1:9" x14ac:dyDescent="0.3">
      <c r="A1240" s="23">
        <v>1222</v>
      </c>
      <c r="B1240" s="52">
        <v>5.4368022736026103E-2</v>
      </c>
      <c r="C1240" s="52">
        <v>0.30315836672977986</v>
      </c>
      <c r="D1240" s="52">
        <v>0.52385830775532738</v>
      </c>
      <c r="E1240" s="52">
        <v>0.1853790147647878</v>
      </c>
      <c r="F1240" s="52">
        <v>9.8457708753827131E-2</v>
      </c>
      <c r="G1240" s="52">
        <v>5.0809749845947556E-2</v>
      </c>
      <c r="H1240" s="52">
        <v>9.7437639491038425E-2</v>
      </c>
      <c r="I1240" s="119">
        <v>311.20313008109775</v>
      </c>
    </row>
    <row r="1241" spans="1:9" x14ac:dyDescent="0.3">
      <c r="A1241" s="23">
        <v>1223</v>
      </c>
      <c r="B1241" s="52">
        <v>7.3844036975449542E-2</v>
      </c>
      <c r="C1241" s="52">
        <v>0.28343776990628389</v>
      </c>
      <c r="D1241" s="52">
        <v>0.49548356289341816</v>
      </c>
      <c r="E1241" s="52">
        <v>0.22065375774224782</v>
      </c>
      <c r="F1241" s="52">
        <v>8.4679297006999901E-2</v>
      </c>
      <c r="G1241" s="52">
        <v>5.8480251592569255E-2</v>
      </c>
      <c r="H1241" s="52">
        <v>0.10676724177507034</v>
      </c>
      <c r="I1241" s="119">
        <v>699.02773661914352</v>
      </c>
    </row>
    <row r="1242" spans="1:9" x14ac:dyDescent="0.3">
      <c r="A1242" s="23">
        <v>1224</v>
      </c>
      <c r="B1242" s="52">
        <v>5.4811514358550736E-2</v>
      </c>
      <c r="C1242" s="52">
        <v>0.28326315630114213</v>
      </c>
      <c r="D1242" s="52">
        <v>0.62472265316492415</v>
      </c>
      <c r="E1242" s="52">
        <v>0.17983877102829973</v>
      </c>
      <c r="F1242" s="52">
        <v>8.5580821826254511E-2</v>
      </c>
      <c r="G1242" s="52">
        <v>2.5915563318809138E-2</v>
      </c>
      <c r="H1242" s="52">
        <v>9.154353203557633E-2</v>
      </c>
      <c r="I1242" s="119">
        <v>180.29413762675759</v>
      </c>
    </row>
    <row r="1243" spans="1:9" x14ac:dyDescent="0.3">
      <c r="A1243" s="23">
        <v>1225</v>
      </c>
      <c r="B1243" s="52">
        <v>7.9678762808862505E-2</v>
      </c>
      <c r="C1243" s="52">
        <v>0.30669064087935355</v>
      </c>
      <c r="D1243" s="52">
        <v>0.4603839945246746</v>
      </c>
      <c r="E1243" s="52">
        <v>0.18228378565505493</v>
      </c>
      <c r="F1243" s="52">
        <v>9.3398423128775443E-2</v>
      </c>
      <c r="G1243" s="52">
        <v>4.8872439136392429E-2</v>
      </c>
      <c r="H1243" s="52">
        <v>0.10450498978624413</v>
      </c>
      <c r="I1243" s="119">
        <v>429.21678857983329</v>
      </c>
    </row>
    <row r="1244" spans="1:9" x14ac:dyDescent="0.3">
      <c r="A1244" s="23">
        <v>1226</v>
      </c>
      <c r="B1244" s="52">
        <v>4.2633231091639315E-2</v>
      </c>
      <c r="C1244" s="52">
        <v>0.29378888571653261</v>
      </c>
      <c r="D1244" s="52">
        <v>0.48021698906305627</v>
      </c>
      <c r="E1244" s="52">
        <v>0.19666795637379478</v>
      </c>
      <c r="F1244" s="52">
        <v>0.10458100515538904</v>
      </c>
      <c r="G1244" s="52">
        <v>5.6534687778486574E-2</v>
      </c>
      <c r="H1244" s="52">
        <v>0.10491924799251706</v>
      </c>
      <c r="I1244" s="119">
        <v>243.47153072364532</v>
      </c>
    </row>
    <row r="1245" spans="1:9" x14ac:dyDescent="0.3">
      <c r="A1245" s="23">
        <v>1227</v>
      </c>
      <c r="B1245" s="52">
        <v>6.1827903937701531E-2</v>
      </c>
      <c r="C1245" s="52">
        <v>0.27438477648856074</v>
      </c>
      <c r="D1245" s="52">
        <v>0.4692588844372429</v>
      </c>
      <c r="E1245" s="52">
        <v>0.21234273331237952</v>
      </c>
      <c r="F1245" s="52">
        <v>9.3347555379167058E-2</v>
      </c>
      <c r="G1245" s="52">
        <v>5.9228728369367503E-2</v>
      </c>
      <c r="H1245" s="52">
        <v>0.10024063232399585</v>
      </c>
      <c r="I1245" s="119">
        <v>401.40122932940744</v>
      </c>
    </row>
    <row r="1246" spans="1:9" x14ac:dyDescent="0.3">
      <c r="A1246" s="23">
        <v>1228</v>
      </c>
      <c r="B1246" s="52">
        <v>5.9611146137146548E-2</v>
      </c>
      <c r="C1246" s="52">
        <v>0.27341815919712908</v>
      </c>
      <c r="D1246" s="52">
        <v>0.43597173928715072</v>
      </c>
      <c r="E1246" s="52">
        <v>0.19715664075872885</v>
      </c>
      <c r="F1246" s="52">
        <v>8.4236023764699963E-2</v>
      </c>
      <c r="G1246" s="52">
        <v>4.755800743058379E-2</v>
      </c>
      <c r="H1246" s="52">
        <v>9.7739216409260352E-2</v>
      </c>
      <c r="I1246" s="119">
        <v>371.55140411223289</v>
      </c>
    </row>
    <row r="1247" spans="1:9" x14ac:dyDescent="0.3">
      <c r="A1247" s="23">
        <v>1229</v>
      </c>
      <c r="B1247" s="52">
        <v>7.2418066428498101E-2</v>
      </c>
      <c r="C1247" s="52">
        <v>0.29486727670155916</v>
      </c>
      <c r="D1247" s="52">
        <v>0.44806859327283016</v>
      </c>
      <c r="E1247" s="52">
        <v>0.20241356351328188</v>
      </c>
      <c r="F1247" s="52">
        <v>0.10407742024991017</v>
      </c>
      <c r="G1247" s="52">
        <v>4.2883381691277492E-2</v>
      </c>
      <c r="H1247" s="52">
        <v>0.12081150839113519</v>
      </c>
      <c r="I1247" s="119">
        <v>204.5888030484428</v>
      </c>
    </row>
    <row r="1248" spans="1:9" x14ac:dyDescent="0.3">
      <c r="A1248" s="23">
        <v>1230</v>
      </c>
      <c r="B1248" s="52">
        <v>6.4811793239941018E-2</v>
      </c>
      <c r="C1248" s="52">
        <v>0.27325934605299712</v>
      </c>
      <c r="D1248" s="52">
        <v>0.48386797874695636</v>
      </c>
      <c r="E1248" s="52">
        <v>0.19567632078909591</v>
      </c>
      <c r="F1248" s="52">
        <v>9.3305151646335086E-2</v>
      </c>
      <c r="G1248" s="52">
        <v>6.8218961702545891E-2</v>
      </c>
      <c r="H1248" s="52">
        <v>0.10163564622287584</v>
      </c>
      <c r="I1248" s="119">
        <v>612.2759377118316</v>
      </c>
    </row>
    <row r="1249" spans="1:9" x14ac:dyDescent="0.3">
      <c r="A1249" s="23">
        <v>1231</v>
      </c>
      <c r="B1249" s="52">
        <v>5.1768742369561534E-2</v>
      </c>
      <c r="C1249" s="52">
        <v>0.29989857110035739</v>
      </c>
      <c r="D1249" s="52">
        <v>0.63098073435091795</v>
      </c>
      <c r="E1249" s="52">
        <v>0.20022060778692968</v>
      </c>
      <c r="F1249" s="52">
        <v>8.1488355368729726E-2</v>
      </c>
      <c r="G1249" s="52">
        <v>6.8768131447557959E-2</v>
      </c>
      <c r="H1249" s="52">
        <v>0.10703606175775382</v>
      </c>
      <c r="I1249" s="119">
        <v>1672.0015046398507</v>
      </c>
    </row>
    <row r="1250" spans="1:9" x14ac:dyDescent="0.3">
      <c r="A1250" s="23">
        <v>1232</v>
      </c>
      <c r="B1250" s="52">
        <v>7.0472616732314058E-2</v>
      </c>
      <c r="C1250" s="52">
        <v>0.27902494621214619</v>
      </c>
      <c r="D1250" s="52">
        <v>0.50809529695368361</v>
      </c>
      <c r="E1250" s="52">
        <v>0.2165625179840526</v>
      </c>
      <c r="F1250" s="52">
        <v>9.5465613032282848E-2</v>
      </c>
      <c r="G1250" s="52">
        <v>4.9948694960609594E-2</v>
      </c>
      <c r="H1250" s="52">
        <v>0.10627480176652934</v>
      </c>
      <c r="I1250" s="119">
        <v>286.34085473781516</v>
      </c>
    </row>
    <row r="1251" spans="1:9" x14ac:dyDescent="0.3">
      <c r="A1251" s="23">
        <v>1233</v>
      </c>
      <c r="B1251" s="52">
        <v>5.7183520956219633E-2</v>
      </c>
      <c r="C1251" s="52">
        <v>0.2983364326290201</v>
      </c>
      <c r="D1251" s="52">
        <v>0.57139719849243287</v>
      </c>
      <c r="E1251" s="52">
        <v>0.17613103765837523</v>
      </c>
      <c r="F1251" s="52">
        <v>7.575767643038088E-2</v>
      </c>
      <c r="G1251" s="52">
        <v>5.791910310718431E-2</v>
      </c>
      <c r="H1251" s="52">
        <v>9.5061390455333558E-2</v>
      </c>
      <c r="I1251" s="119">
        <v>1192.5934679574611</v>
      </c>
    </row>
    <row r="1252" spans="1:9" x14ac:dyDescent="0.3">
      <c r="A1252" s="23">
        <v>1234</v>
      </c>
      <c r="B1252" s="52">
        <v>7.3704195525658156E-2</v>
      </c>
      <c r="C1252" s="52">
        <v>0.29121331719853311</v>
      </c>
      <c r="D1252" s="52">
        <v>0.4354612519558046</v>
      </c>
      <c r="E1252" s="52">
        <v>0.22301807509501689</v>
      </c>
      <c r="F1252" s="52">
        <v>0.10299419448989407</v>
      </c>
      <c r="G1252" s="52">
        <v>4.6581579864104043E-2</v>
      </c>
      <c r="H1252" s="52">
        <v>0.10525449010351204</v>
      </c>
      <c r="I1252" s="119">
        <v>228.79991355081583</v>
      </c>
    </row>
    <row r="1253" spans="1:9" x14ac:dyDescent="0.3">
      <c r="A1253" s="23">
        <v>1235</v>
      </c>
      <c r="B1253" s="52">
        <v>5.3419205731899379E-2</v>
      </c>
      <c r="C1253" s="52">
        <v>0.29065444681592489</v>
      </c>
      <c r="D1253" s="52">
        <v>0.46314173498831551</v>
      </c>
      <c r="E1253" s="52">
        <v>0.17025935311854959</v>
      </c>
      <c r="F1253" s="52">
        <v>0.10206831608104547</v>
      </c>
      <c r="G1253" s="52">
        <v>4.9600219675580905E-2</v>
      </c>
      <c r="H1253" s="52">
        <v>0.11600459575651971</v>
      </c>
      <c r="I1253" s="119">
        <v>221.981688500281</v>
      </c>
    </row>
    <row r="1254" spans="1:9" x14ac:dyDescent="0.3">
      <c r="A1254" s="23">
        <v>1236</v>
      </c>
      <c r="B1254" s="52">
        <v>5.5969758730129146E-2</v>
      </c>
      <c r="C1254" s="52">
        <v>0.27942293971631393</v>
      </c>
      <c r="D1254" s="52">
        <v>0.52483064908543053</v>
      </c>
      <c r="E1254" s="52">
        <v>0.18179163079788596</v>
      </c>
      <c r="F1254" s="52">
        <v>9.4104804240834089E-2</v>
      </c>
      <c r="G1254" s="52">
        <v>4.0659915150564711E-2</v>
      </c>
      <c r="H1254" s="52">
        <v>0.11081968056666999</v>
      </c>
      <c r="I1254" s="119">
        <v>197.64809593266244</v>
      </c>
    </row>
    <row r="1255" spans="1:9" x14ac:dyDescent="0.3">
      <c r="A1255" s="23">
        <v>1237</v>
      </c>
      <c r="B1255" s="52">
        <v>6.0721343755674395E-2</v>
      </c>
      <c r="C1255" s="52">
        <v>0.26931670601909385</v>
      </c>
      <c r="D1255" s="52">
        <v>0.48987193251379352</v>
      </c>
      <c r="E1255" s="52">
        <v>0.18416390768190583</v>
      </c>
      <c r="F1255" s="52">
        <v>9.4816132996852723E-2</v>
      </c>
      <c r="G1255" s="52">
        <v>4.4473480362515722E-2</v>
      </c>
      <c r="H1255" s="52">
        <v>9.7134553879401911E-2</v>
      </c>
      <c r="I1255" s="119">
        <v>194.39372234569055</v>
      </c>
    </row>
    <row r="1256" spans="1:9" x14ac:dyDescent="0.3">
      <c r="A1256" s="23">
        <v>1238</v>
      </c>
      <c r="B1256" s="52">
        <v>7.9186042643956178E-2</v>
      </c>
      <c r="C1256" s="52">
        <v>0.27529891254354083</v>
      </c>
      <c r="D1256" s="52">
        <v>0.47474319064062243</v>
      </c>
      <c r="E1256" s="52">
        <v>0.20496590873347428</v>
      </c>
      <c r="F1256" s="52">
        <v>8.4804830154719846E-2</v>
      </c>
      <c r="G1256" s="52">
        <v>5.5857651199795862E-2</v>
      </c>
      <c r="H1256" s="52">
        <v>0.10781282960900865</v>
      </c>
      <c r="I1256" s="119">
        <v>585.26103441069529</v>
      </c>
    </row>
    <row r="1257" spans="1:9" x14ac:dyDescent="0.3">
      <c r="A1257" s="23">
        <v>1239</v>
      </c>
      <c r="B1257" s="52">
        <v>7.6857996361965913E-2</v>
      </c>
      <c r="C1257" s="52">
        <v>0.3112900358735225</v>
      </c>
      <c r="D1257" s="52">
        <v>0.55887724514292603</v>
      </c>
      <c r="E1257" s="52">
        <v>0.17938922233434801</v>
      </c>
      <c r="F1257" s="52">
        <v>9.2273396605346725E-2</v>
      </c>
      <c r="G1257" s="52">
        <v>6.4031108896390326E-2</v>
      </c>
      <c r="H1257" s="52">
        <v>0.11082345769118855</v>
      </c>
      <c r="I1257" s="119">
        <v>786.50861046482783</v>
      </c>
    </row>
    <row r="1258" spans="1:9" x14ac:dyDescent="0.3">
      <c r="A1258" s="23">
        <v>1240</v>
      </c>
      <c r="B1258" s="52">
        <v>5.6809781424357386E-2</v>
      </c>
      <c r="C1258" s="52">
        <v>0.30113028979273293</v>
      </c>
      <c r="D1258" s="52">
        <v>0.54385686843063774</v>
      </c>
      <c r="E1258" s="52">
        <v>0.19625582007296796</v>
      </c>
      <c r="F1258" s="52">
        <v>9.8009892876678356E-2</v>
      </c>
      <c r="G1258" s="52">
        <v>4.8075968925410148E-2</v>
      </c>
      <c r="H1258" s="52">
        <v>0.10567527093614695</v>
      </c>
      <c r="I1258" s="119">
        <v>288.77315085953626</v>
      </c>
    </row>
    <row r="1259" spans="1:9" x14ac:dyDescent="0.3">
      <c r="A1259" s="23">
        <v>1241</v>
      </c>
      <c r="B1259" s="52">
        <v>5.5501796034188762E-2</v>
      </c>
      <c r="C1259" s="52">
        <v>0.2823219444204752</v>
      </c>
      <c r="D1259" s="52">
        <v>0.53326780291005449</v>
      </c>
      <c r="E1259" s="52">
        <v>0.18749287986430738</v>
      </c>
      <c r="F1259" s="52">
        <v>0.10347706687335803</v>
      </c>
      <c r="G1259" s="52">
        <v>3.939603093398588E-2</v>
      </c>
      <c r="H1259" s="52">
        <v>0.10512594215275148</v>
      </c>
      <c r="I1259" s="119">
        <v>130.66403898770417</v>
      </c>
    </row>
    <row r="1260" spans="1:9" x14ac:dyDescent="0.3">
      <c r="A1260" s="23">
        <v>1242</v>
      </c>
      <c r="B1260" s="52">
        <v>6.3566386411854373E-2</v>
      </c>
      <c r="C1260" s="52">
        <v>0.28014281669988761</v>
      </c>
      <c r="D1260" s="52">
        <v>0.45025914414683182</v>
      </c>
      <c r="E1260" s="52">
        <v>0.22503936444781925</v>
      </c>
      <c r="F1260" s="52">
        <v>0.10378101147580436</v>
      </c>
      <c r="G1260" s="52">
        <v>4.875761067149334E-2</v>
      </c>
      <c r="H1260" s="52">
        <v>0.11643039145760341</v>
      </c>
      <c r="I1260" s="119">
        <v>186.66398018178663</v>
      </c>
    </row>
    <row r="1261" spans="1:9" x14ac:dyDescent="0.3">
      <c r="A1261" s="23">
        <v>1243</v>
      </c>
      <c r="B1261" s="52">
        <v>6.4004871333972355E-2</v>
      </c>
      <c r="C1261" s="52">
        <v>0.2875208876973836</v>
      </c>
      <c r="D1261" s="52">
        <v>0.52158263375711011</v>
      </c>
      <c r="E1261" s="52">
        <v>0.18330217757885917</v>
      </c>
      <c r="F1261" s="52">
        <v>0.10013485977038282</v>
      </c>
      <c r="G1261" s="52">
        <v>5.3082826508942832E-2</v>
      </c>
      <c r="H1261" s="52">
        <v>0.11820145836664311</v>
      </c>
      <c r="I1261" s="119">
        <v>280.53163948676649</v>
      </c>
    </row>
    <row r="1262" spans="1:9" x14ac:dyDescent="0.3">
      <c r="A1262" s="23">
        <v>1244</v>
      </c>
      <c r="B1262" s="52">
        <v>7.1107628284513932E-2</v>
      </c>
      <c r="C1262" s="52">
        <v>0.29245222539445337</v>
      </c>
      <c r="D1262" s="52">
        <v>0.65896059455704936</v>
      </c>
      <c r="E1262" s="52">
        <v>0.20066824468821787</v>
      </c>
      <c r="F1262" s="52">
        <v>9.5950895352478111E-2</v>
      </c>
      <c r="G1262" s="52">
        <v>4.9340890639184745E-2</v>
      </c>
      <c r="H1262" s="52">
        <v>9.7661117446806847E-2</v>
      </c>
      <c r="I1262" s="119">
        <v>324.94710831227462</v>
      </c>
    </row>
    <row r="1263" spans="1:9" x14ac:dyDescent="0.3">
      <c r="A1263" s="23">
        <v>1245</v>
      </c>
      <c r="B1263" s="52">
        <v>6.2022905634927378E-2</v>
      </c>
      <c r="C1263" s="52">
        <v>0.2709805303930693</v>
      </c>
      <c r="D1263" s="52">
        <v>0.44235466858723199</v>
      </c>
      <c r="E1263" s="52">
        <v>0.18809405927221717</v>
      </c>
      <c r="F1263" s="52">
        <v>0.1016534686893709</v>
      </c>
      <c r="G1263" s="52">
        <v>3.3180195375064295E-2</v>
      </c>
      <c r="H1263" s="52">
        <v>9.825823745923154E-2</v>
      </c>
      <c r="I1263" s="119">
        <v>93.248256002510061</v>
      </c>
    </row>
    <row r="1264" spans="1:9" x14ac:dyDescent="0.3">
      <c r="A1264" s="23">
        <v>1246</v>
      </c>
      <c r="B1264" s="52">
        <v>6.0313753722827393E-2</v>
      </c>
      <c r="C1264" s="52">
        <v>0.2734211557325868</v>
      </c>
      <c r="D1264" s="52">
        <v>0.48554639863154836</v>
      </c>
      <c r="E1264" s="52">
        <v>0.17511208293272643</v>
      </c>
      <c r="F1264" s="52">
        <v>9.7652456670607887E-2</v>
      </c>
      <c r="G1264" s="52">
        <v>4.5760346429095988E-2</v>
      </c>
      <c r="H1264" s="52">
        <v>0.10465275537995637</v>
      </c>
      <c r="I1264" s="119">
        <v>191.4072808716283</v>
      </c>
    </row>
    <row r="1265" spans="1:9" x14ac:dyDescent="0.3">
      <c r="A1265" s="23">
        <v>1247</v>
      </c>
      <c r="B1265" s="52">
        <v>6.7286431434223276E-2</v>
      </c>
      <c r="C1265" s="52">
        <v>0.30207273500738951</v>
      </c>
      <c r="D1265" s="52">
        <v>0.67760881930709471</v>
      </c>
      <c r="E1265" s="52">
        <v>0.18928370518889556</v>
      </c>
      <c r="F1265" s="52">
        <v>0.10133001109651887</v>
      </c>
      <c r="G1265" s="52">
        <v>5.3568687832991277E-2</v>
      </c>
      <c r="H1265" s="52">
        <v>0.11130906619131339</v>
      </c>
      <c r="I1265" s="119">
        <v>328.30395088834405</v>
      </c>
    </row>
    <row r="1266" spans="1:9" x14ac:dyDescent="0.3">
      <c r="A1266" s="23">
        <v>1248</v>
      </c>
      <c r="B1266" s="52">
        <v>5.5409523892813249E-2</v>
      </c>
      <c r="C1266" s="52">
        <v>0.27418486998944835</v>
      </c>
      <c r="D1266" s="52">
        <v>0.6414493155119263</v>
      </c>
      <c r="E1266" s="52">
        <v>0.18626354805187903</v>
      </c>
      <c r="F1266" s="52">
        <v>0.10453646775375856</v>
      </c>
      <c r="G1266" s="52">
        <v>4.7905226536356427E-2</v>
      </c>
      <c r="H1266" s="52">
        <v>0.10412657955545412</v>
      </c>
      <c r="I1266" s="119">
        <v>146.20718228910596</v>
      </c>
    </row>
    <row r="1267" spans="1:9" x14ac:dyDescent="0.3">
      <c r="A1267" s="23">
        <v>1249</v>
      </c>
      <c r="B1267" s="52">
        <v>5.3845066415831117E-2</v>
      </c>
      <c r="C1267" s="52">
        <v>0.26846509402377433</v>
      </c>
      <c r="D1267" s="52">
        <v>0.45524260969181174</v>
      </c>
      <c r="E1267" s="52">
        <v>0.17555860035181214</v>
      </c>
      <c r="F1267" s="52">
        <v>9.6906196349522494E-2</v>
      </c>
      <c r="G1267" s="52">
        <v>5.4254420684701307E-2</v>
      </c>
      <c r="H1267" s="52">
        <v>0.11533303870676535</v>
      </c>
      <c r="I1267" s="119">
        <v>242.43367609462885</v>
      </c>
    </row>
    <row r="1268" spans="1:9" x14ac:dyDescent="0.3">
      <c r="A1268" s="23">
        <v>1250</v>
      </c>
      <c r="B1268" s="52">
        <v>5.5810641351824071E-2</v>
      </c>
      <c r="C1268" s="52">
        <v>0.28904178514362139</v>
      </c>
      <c r="D1268" s="52">
        <v>0.49503818216730822</v>
      </c>
      <c r="E1268" s="52">
        <v>0.17540529515104375</v>
      </c>
      <c r="F1268" s="52">
        <v>9.7043521740033584E-2</v>
      </c>
      <c r="G1268" s="52">
        <v>3.9773318426747431E-2</v>
      </c>
      <c r="H1268" s="52">
        <v>0.10894606593960499</v>
      </c>
      <c r="I1268" s="119">
        <v>195.95874159543922</v>
      </c>
    </row>
    <row r="1269" spans="1:9" x14ac:dyDescent="0.3">
      <c r="A1269" s="23">
        <v>1251</v>
      </c>
      <c r="B1269" s="52">
        <v>7.2668105897943785E-2</v>
      </c>
      <c r="C1269" s="52">
        <v>0.29824146761271941</v>
      </c>
      <c r="D1269" s="52">
        <v>0.47105545073410976</v>
      </c>
      <c r="E1269" s="52">
        <v>0.20432600836609136</v>
      </c>
      <c r="F1269" s="52">
        <v>9.9247348663934504E-2</v>
      </c>
      <c r="G1269" s="52">
        <v>6.8748055293707075E-2</v>
      </c>
      <c r="H1269" s="52">
        <v>0.10569546069065777</v>
      </c>
      <c r="I1269" s="119">
        <v>609.75750863045016</v>
      </c>
    </row>
    <row r="1270" spans="1:9" x14ac:dyDescent="0.3">
      <c r="A1270" s="23">
        <v>1252</v>
      </c>
      <c r="B1270" s="52">
        <v>5.7025793730324029E-2</v>
      </c>
      <c r="C1270" s="52">
        <v>0.28015061734241842</v>
      </c>
      <c r="D1270" s="52">
        <v>0.60394599873195598</v>
      </c>
      <c r="E1270" s="52">
        <v>0.20124972984861073</v>
      </c>
      <c r="F1270" s="52">
        <v>9.1648025939917083E-2</v>
      </c>
      <c r="G1270" s="52">
        <v>5.5593277161713153E-2</v>
      </c>
      <c r="H1270" s="52">
        <v>9.1571457052722696E-2</v>
      </c>
      <c r="I1270" s="119">
        <v>388.16480322148249</v>
      </c>
    </row>
    <row r="1271" spans="1:9" x14ac:dyDescent="0.3">
      <c r="A1271" s="23">
        <v>1253</v>
      </c>
      <c r="B1271" s="52">
        <v>8.336159525303595E-2</v>
      </c>
      <c r="C1271" s="52">
        <v>0.28666511126202937</v>
      </c>
      <c r="D1271" s="52">
        <v>0.459217400850085</v>
      </c>
      <c r="E1271" s="52">
        <v>0.21150730184537678</v>
      </c>
      <c r="F1271" s="52">
        <v>7.890121002739274E-2</v>
      </c>
      <c r="G1271" s="52">
        <v>3.7380730266590743E-2</v>
      </c>
      <c r="H1271" s="52">
        <v>0.11080659204744941</v>
      </c>
      <c r="I1271" s="119">
        <v>429.45770134837181</v>
      </c>
    </row>
    <row r="1272" spans="1:9" x14ac:dyDescent="0.3">
      <c r="A1272" s="23">
        <v>1254</v>
      </c>
      <c r="B1272" s="52">
        <v>7.2991235213722722E-2</v>
      </c>
      <c r="C1272" s="52">
        <v>0.30281575044589748</v>
      </c>
      <c r="D1272" s="52">
        <v>0.56524019838091721</v>
      </c>
      <c r="E1272" s="52">
        <v>0.17997982657565903</v>
      </c>
      <c r="F1272" s="52">
        <v>9.8128110009555333E-2</v>
      </c>
      <c r="G1272" s="52">
        <v>6.0321675508492323E-2</v>
      </c>
      <c r="H1272" s="52">
        <v>9.9178144241302599E-2</v>
      </c>
      <c r="I1272" s="119">
        <v>484.12372754227067</v>
      </c>
    </row>
    <row r="1273" spans="1:9" x14ac:dyDescent="0.3">
      <c r="A1273" s="23">
        <v>1255</v>
      </c>
      <c r="B1273" s="52">
        <v>6.9849038360638507E-2</v>
      </c>
      <c r="C1273" s="52">
        <v>0.27304739796174426</v>
      </c>
      <c r="D1273" s="52">
        <v>0.53769672213287256</v>
      </c>
      <c r="E1273" s="52">
        <v>0.18594959789677226</v>
      </c>
      <c r="F1273" s="52">
        <v>0.10151258841233975</v>
      </c>
      <c r="G1273" s="52">
        <v>3.7730684507984884E-2</v>
      </c>
      <c r="H1273" s="52">
        <v>0.12135498315081374</v>
      </c>
      <c r="I1273" s="119">
        <v>129.25833293489219</v>
      </c>
    </row>
    <row r="1274" spans="1:9" x14ac:dyDescent="0.3">
      <c r="A1274" s="23">
        <v>1256</v>
      </c>
      <c r="B1274" s="52">
        <v>8.0337265196772104E-2</v>
      </c>
      <c r="C1274" s="52">
        <v>0.31012018696815441</v>
      </c>
      <c r="D1274" s="52">
        <v>0.62002271457078106</v>
      </c>
      <c r="E1274" s="52">
        <v>0.1790923664852577</v>
      </c>
      <c r="F1274" s="52">
        <v>8.8329199585165608E-2</v>
      </c>
      <c r="G1274" s="52">
        <v>4.9951448141016527E-2</v>
      </c>
      <c r="H1274" s="52">
        <v>9.3641778333489384E-2</v>
      </c>
      <c r="I1274" s="119">
        <v>554.54940396613438</v>
      </c>
    </row>
    <row r="1275" spans="1:9" x14ac:dyDescent="0.3">
      <c r="A1275" s="23">
        <v>1257</v>
      </c>
      <c r="B1275" s="52">
        <v>5.6380260827052185E-2</v>
      </c>
      <c r="C1275" s="52">
        <v>0.28489509071104846</v>
      </c>
      <c r="D1275" s="52">
        <v>0.5291446648045075</v>
      </c>
      <c r="E1275" s="52">
        <v>0.20404737802032838</v>
      </c>
      <c r="F1275" s="52">
        <v>8.9797176103348725E-2</v>
      </c>
      <c r="G1275" s="52">
        <v>5.6976601946321558E-2</v>
      </c>
      <c r="H1275" s="52">
        <v>0.10230491675415135</v>
      </c>
      <c r="I1275" s="119">
        <v>468.84047907589843</v>
      </c>
    </row>
    <row r="1276" spans="1:9" x14ac:dyDescent="0.3">
      <c r="A1276" s="23">
        <v>1258</v>
      </c>
      <c r="B1276" s="52">
        <v>5.5524236245173761E-2</v>
      </c>
      <c r="C1276" s="52">
        <v>0.29970806378696085</v>
      </c>
      <c r="D1276" s="52">
        <v>0.52638564327058679</v>
      </c>
      <c r="E1276" s="52">
        <v>0.19382019452431143</v>
      </c>
      <c r="F1276" s="52">
        <v>7.705036804057612E-2</v>
      </c>
      <c r="G1276" s="52">
        <v>4.4261163711909295E-2</v>
      </c>
      <c r="H1276" s="52">
        <v>0.1075795619696566</v>
      </c>
      <c r="I1276" s="119">
        <v>573.55730639933256</v>
      </c>
    </row>
    <row r="1277" spans="1:9" x14ac:dyDescent="0.3">
      <c r="A1277" s="23">
        <v>1259</v>
      </c>
      <c r="B1277" s="52">
        <v>6.5197872640518628E-2</v>
      </c>
      <c r="C1277" s="52">
        <v>0.28912681790122691</v>
      </c>
      <c r="D1277" s="52">
        <v>0.64618470281347196</v>
      </c>
      <c r="E1277" s="52">
        <v>0.17732962463048002</v>
      </c>
      <c r="F1277" s="52">
        <v>9.4024242607408229E-2</v>
      </c>
      <c r="G1277" s="52">
        <v>6.4439672833393122E-2</v>
      </c>
      <c r="H1277" s="52">
        <v>0.115367861753489</v>
      </c>
      <c r="I1277" s="119">
        <v>576.093068857091</v>
      </c>
    </row>
    <row r="1278" spans="1:9" x14ac:dyDescent="0.3">
      <c r="A1278" s="23">
        <v>1260</v>
      </c>
      <c r="B1278" s="52">
        <v>5.4845686554652384E-2</v>
      </c>
      <c r="C1278" s="52">
        <v>0.30915534133232303</v>
      </c>
      <c r="D1278" s="52">
        <v>0.72325405805698684</v>
      </c>
      <c r="E1278" s="52">
        <v>0.20446630496074641</v>
      </c>
      <c r="F1278" s="52">
        <v>9.6908192481134275E-2</v>
      </c>
      <c r="G1278" s="52">
        <v>4.8606121349121817E-2</v>
      </c>
      <c r="H1278" s="52">
        <v>0.10864795243005454</v>
      </c>
      <c r="I1278" s="119">
        <v>328.49935809502352</v>
      </c>
    </row>
    <row r="1279" spans="1:9" x14ac:dyDescent="0.3">
      <c r="A1279" s="23">
        <v>1261</v>
      </c>
      <c r="B1279" s="52">
        <v>8.4488482308799365E-2</v>
      </c>
      <c r="C1279" s="52">
        <v>0.26973067486107966</v>
      </c>
      <c r="D1279" s="52">
        <v>0.51435710254706657</v>
      </c>
      <c r="E1279" s="52">
        <v>0.18693227425284584</v>
      </c>
      <c r="F1279" s="52">
        <v>9.6640135277644035E-2</v>
      </c>
      <c r="G1279" s="52">
        <v>6.0630330131223639E-2</v>
      </c>
      <c r="H1279" s="52">
        <v>0.10352164418182694</v>
      </c>
      <c r="I1279" s="119">
        <v>394.7097474456765</v>
      </c>
    </row>
    <row r="1280" spans="1:9" x14ac:dyDescent="0.3">
      <c r="A1280" s="23">
        <v>1262</v>
      </c>
      <c r="B1280" s="52">
        <v>5.9919232598090913E-2</v>
      </c>
      <c r="C1280" s="52">
        <v>0.28012968901024943</v>
      </c>
      <c r="D1280" s="52">
        <v>0.6150784660741152</v>
      </c>
      <c r="E1280" s="52">
        <v>0.19196352533306021</v>
      </c>
      <c r="F1280" s="52">
        <v>9.7403595276550597E-2</v>
      </c>
      <c r="G1280" s="52">
        <v>4.6170514502389293E-2</v>
      </c>
      <c r="H1280" s="52">
        <v>0.10688378918311017</v>
      </c>
      <c r="I1280" s="119">
        <v>217.36681595292853</v>
      </c>
    </row>
    <row r="1281" spans="1:9" x14ac:dyDescent="0.3">
      <c r="A1281" s="23">
        <v>1263</v>
      </c>
      <c r="B1281" s="52">
        <v>5.9041259134591489E-2</v>
      </c>
      <c r="C1281" s="52">
        <v>0.28816552341974883</v>
      </c>
      <c r="D1281" s="52">
        <v>0.53129841596129723</v>
      </c>
      <c r="E1281" s="52">
        <v>0.20339625537691663</v>
      </c>
      <c r="F1281" s="52">
        <v>8.9164613019049044E-2</v>
      </c>
      <c r="G1281" s="52">
        <v>5.3752114594907321E-2</v>
      </c>
      <c r="H1281" s="52">
        <v>0.10394199299469203</v>
      </c>
      <c r="I1281" s="119">
        <v>445.0313140029333</v>
      </c>
    </row>
    <row r="1282" spans="1:9" x14ac:dyDescent="0.3">
      <c r="A1282" s="23">
        <v>1264</v>
      </c>
      <c r="B1282" s="52">
        <v>5.4601315927543345E-2</v>
      </c>
      <c r="C1282" s="52">
        <v>0.28056974954187464</v>
      </c>
      <c r="D1282" s="52">
        <v>0.65191815872571979</v>
      </c>
      <c r="E1282" s="52">
        <v>0.1882201312876593</v>
      </c>
      <c r="F1282" s="52">
        <v>0.10152704784715144</v>
      </c>
      <c r="G1282" s="52">
        <v>5.2752233979641891E-2</v>
      </c>
      <c r="H1282" s="52">
        <v>0.11515791658345531</v>
      </c>
      <c r="I1282" s="119">
        <v>222.41844037429482</v>
      </c>
    </row>
    <row r="1283" spans="1:9" x14ac:dyDescent="0.3">
      <c r="A1283" s="23">
        <v>1265</v>
      </c>
      <c r="B1283" s="52">
        <v>5.8019428439550783E-2</v>
      </c>
      <c r="C1283" s="52">
        <v>0.28782616664044913</v>
      </c>
      <c r="D1283" s="52">
        <v>0.77622414695792996</v>
      </c>
      <c r="E1283" s="52">
        <v>0.20422152499957075</v>
      </c>
      <c r="F1283" s="52">
        <v>0.10482643209499858</v>
      </c>
      <c r="G1283" s="52">
        <v>4.0536581906724267E-2</v>
      </c>
      <c r="H1283" s="52">
        <v>0.10078511605936427</v>
      </c>
      <c r="I1283" s="119">
        <v>145.52888319046224</v>
      </c>
    </row>
    <row r="1284" spans="1:9" x14ac:dyDescent="0.3">
      <c r="A1284" s="23">
        <v>1266</v>
      </c>
      <c r="B1284" s="52">
        <v>6.0951819323549941E-2</v>
      </c>
      <c r="C1284" s="52">
        <v>0.28183544007679528</v>
      </c>
      <c r="D1284" s="52">
        <v>0.75454022346285854</v>
      </c>
      <c r="E1284" s="52">
        <v>0.18950005249248394</v>
      </c>
      <c r="F1284" s="52">
        <v>0.10314548518635462</v>
      </c>
      <c r="G1284" s="52">
        <v>3.9629859228685213E-2</v>
      </c>
      <c r="H1284" s="52">
        <v>0.10421815037712415</v>
      </c>
      <c r="I1284" s="119">
        <v>140.06223564955374</v>
      </c>
    </row>
    <row r="1285" spans="1:9" x14ac:dyDescent="0.3">
      <c r="A1285" s="23">
        <v>1267</v>
      </c>
      <c r="B1285" s="52">
        <v>5.9607516034865485E-2</v>
      </c>
      <c r="C1285" s="52">
        <v>0.29901029479926949</v>
      </c>
      <c r="D1285" s="52">
        <v>0.52523600068743503</v>
      </c>
      <c r="E1285" s="52">
        <v>0.19229504744782952</v>
      </c>
      <c r="F1285" s="52">
        <v>9.392636947175724E-2</v>
      </c>
      <c r="G1285" s="52">
        <v>4.3088996842502947E-2</v>
      </c>
      <c r="H1285" s="52">
        <v>0.11214825597031758</v>
      </c>
      <c r="I1285" s="119">
        <v>286.9805671398841</v>
      </c>
    </row>
    <row r="1286" spans="1:9" x14ac:dyDescent="0.3">
      <c r="A1286" s="23">
        <v>1268</v>
      </c>
      <c r="B1286" s="52">
        <v>7.336238962215727E-2</v>
      </c>
      <c r="C1286" s="52">
        <v>0.29108079133137477</v>
      </c>
      <c r="D1286" s="52">
        <v>0.54636857687557105</v>
      </c>
      <c r="E1286" s="52">
        <v>0.19707001296252175</v>
      </c>
      <c r="F1286" s="52">
        <v>0.10070266425541149</v>
      </c>
      <c r="G1286" s="52">
        <v>4.7350984979950994E-2</v>
      </c>
      <c r="H1286" s="52">
        <v>8.3584400319002897E-2</v>
      </c>
      <c r="I1286" s="119">
        <v>254.40415385237776</v>
      </c>
    </row>
    <row r="1287" spans="1:9" x14ac:dyDescent="0.3">
      <c r="A1287" s="23">
        <v>1269</v>
      </c>
      <c r="B1287" s="52">
        <v>6.7071327210053225E-2</v>
      </c>
      <c r="C1287" s="52">
        <v>0.27087100556003885</v>
      </c>
      <c r="D1287" s="52">
        <v>0.45463680755182351</v>
      </c>
      <c r="E1287" s="52">
        <v>0.18634446545833749</v>
      </c>
      <c r="F1287" s="52">
        <v>0.10332837588542282</v>
      </c>
      <c r="G1287" s="52">
        <v>4.9511977060330149E-2</v>
      </c>
      <c r="H1287" s="52">
        <v>0.11105390311712562</v>
      </c>
      <c r="I1287" s="119">
        <v>172.32942974757015</v>
      </c>
    </row>
    <row r="1288" spans="1:9" x14ac:dyDescent="0.3">
      <c r="A1288" s="23">
        <v>1270</v>
      </c>
      <c r="B1288" s="52">
        <v>5.8617503124060145E-2</v>
      </c>
      <c r="C1288" s="52">
        <v>0.30787063438340057</v>
      </c>
      <c r="D1288" s="52">
        <v>0.41923313920744282</v>
      </c>
      <c r="E1288" s="52">
        <v>0.17619650961505126</v>
      </c>
      <c r="F1288" s="52">
        <v>0.10047534203861885</v>
      </c>
      <c r="G1288" s="52">
        <v>4.0228158437429815E-2</v>
      </c>
      <c r="H1288" s="52">
        <v>0.11594967566973641</v>
      </c>
      <c r="I1288" s="119">
        <v>229.17668182892638</v>
      </c>
    </row>
    <row r="1289" spans="1:9" x14ac:dyDescent="0.3">
      <c r="A1289" s="23">
        <v>1271</v>
      </c>
      <c r="B1289" s="52">
        <v>5.5901532210351337E-2</v>
      </c>
      <c r="C1289" s="52">
        <v>0.27186825423545569</v>
      </c>
      <c r="D1289" s="52">
        <v>0.64201593704451732</v>
      </c>
      <c r="E1289" s="52">
        <v>0.17766376545331389</v>
      </c>
      <c r="F1289" s="52">
        <v>8.8431364765240147E-2</v>
      </c>
      <c r="G1289" s="52">
        <v>5.7833007488277022E-2</v>
      </c>
      <c r="H1289" s="52">
        <v>8.7650521940647472E-2</v>
      </c>
      <c r="I1289" s="119">
        <v>451.67078469758104</v>
      </c>
    </row>
    <row r="1290" spans="1:9" x14ac:dyDescent="0.3">
      <c r="A1290" s="23">
        <v>1272</v>
      </c>
      <c r="B1290" s="52">
        <v>8.5808148408464208E-2</v>
      </c>
      <c r="C1290" s="52">
        <v>0.29467754861890283</v>
      </c>
      <c r="D1290" s="52">
        <v>0.45761348307579802</v>
      </c>
      <c r="E1290" s="52">
        <v>0.18352007754884825</v>
      </c>
      <c r="F1290" s="52">
        <v>9.8182128983806211E-2</v>
      </c>
      <c r="G1290" s="52">
        <v>6.1408079066809146E-2</v>
      </c>
      <c r="H1290" s="52">
        <v>0.10971259820172571</v>
      </c>
      <c r="I1290" s="119">
        <v>500.67526270532824</v>
      </c>
    </row>
    <row r="1291" spans="1:9" x14ac:dyDescent="0.3">
      <c r="A1291" s="23">
        <v>1273</v>
      </c>
      <c r="B1291" s="52">
        <v>6.6940854796526075E-2</v>
      </c>
      <c r="C1291" s="52">
        <v>0.27527971873506468</v>
      </c>
      <c r="D1291" s="52">
        <v>0.53346761155056566</v>
      </c>
      <c r="E1291" s="52">
        <v>0.18153189805356429</v>
      </c>
      <c r="F1291" s="52">
        <v>0.10300860708633701</v>
      </c>
      <c r="G1291" s="52">
        <v>6.4645363666989142E-2</v>
      </c>
      <c r="H1291" s="52">
        <v>0.10625095290182074</v>
      </c>
      <c r="I1291" s="119">
        <v>332.54227587814017</v>
      </c>
    </row>
    <row r="1292" spans="1:9" x14ac:dyDescent="0.3">
      <c r="A1292" s="23">
        <v>1274</v>
      </c>
      <c r="B1292" s="52">
        <v>7.0854787429810939E-2</v>
      </c>
      <c r="C1292" s="52">
        <v>0.26078577349126764</v>
      </c>
      <c r="D1292" s="52">
        <v>0.47853476698738662</v>
      </c>
      <c r="E1292" s="52">
        <v>0.20560485028402986</v>
      </c>
      <c r="F1292" s="52">
        <v>8.9851106294667346E-2</v>
      </c>
      <c r="G1292" s="52">
        <v>4.2231962202382387E-2</v>
      </c>
      <c r="H1292" s="52">
        <v>0.11823145850464521</v>
      </c>
      <c r="I1292" s="119">
        <v>210.20024891880456</v>
      </c>
    </row>
    <row r="1293" spans="1:9" x14ac:dyDescent="0.3">
      <c r="A1293" s="23">
        <v>1275</v>
      </c>
      <c r="B1293" s="52">
        <v>8.1075218686686074E-2</v>
      </c>
      <c r="C1293" s="52">
        <v>0.26265528264564797</v>
      </c>
      <c r="D1293" s="52">
        <v>0.52416519663940209</v>
      </c>
      <c r="E1293" s="52">
        <v>0.20010217197514632</v>
      </c>
      <c r="F1293" s="52">
        <v>9.3855930508794538E-2</v>
      </c>
      <c r="G1293" s="52">
        <v>7.5441686212342346E-2</v>
      </c>
      <c r="H1293" s="52">
        <v>8.2668365311516431E-2</v>
      </c>
      <c r="I1293" s="119">
        <v>874.79424748856536</v>
      </c>
    </row>
    <row r="1294" spans="1:9" x14ac:dyDescent="0.3">
      <c r="A1294" s="23">
        <v>1276</v>
      </c>
      <c r="B1294" s="52">
        <v>5.3575600764728101E-2</v>
      </c>
      <c r="C1294" s="52">
        <v>0.27643446670106125</v>
      </c>
      <c r="D1294" s="52">
        <v>0.54910002155267923</v>
      </c>
      <c r="E1294" s="52">
        <v>0.19682329388547143</v>
      </c>
      <c r="F1294" s="52">
        <v>9.2801734080568049E-2</v>
      </c>
      <c r="G1294" s="52">
        <v>4.1840162558145808E-2</v>
      </c>
      <c r="H1294" s="52">
        <v>0.10448312550078438</v>
      </c>
      <c r="I1294" s="119">
        <v>204.31481926009394</v>
      </c>
    </row>
    <row r="1295" spans="1:9" x14ac:dyDescent="0.3">
      <c r="A1295" s="23">
        <v>1277</v>
      </c>
      <c r="B1295" s="52">
        <v>6.666212202098025E-2</v>
      </c>
      <c r="C1295" s="52">
        <v>0.29969906119778411</v>
      </c>
      <c r="D1295" s="52">
        <v>0.49595924599248686</v>
      </c>
      <c r="E1295" s="52">
        <v>0.20826375254546056</v>
      </c>
      <c r="F1295" s="52">
        <v>9.9233704624654723E-2</v>
      </c>
      <c r="G1295" s="52">
        <v>6.1585319323271395E-2</v>
      </c>
      <c r="H1295" s="52">
        <v>9.1267021600946935E-2</v>
      </c>
      <c r="I1295" s="119">
        <v>453.35672179813719</v>
      </c>
    </row>
    <row r="1296" spans="1:9" x14ac:dyDescent="0.3">
      <c r="A1296" s="23">
        <v>1278</v>
      </c>
      <c r="B1296" s="52">
        <v>4.5829094216614602E-2</v>
      </c>
      <c r="C1296" s="52">
        <v>0.27783636957368618</v>
      </c>
      <c r="D1296" s="52">
        <v>0.44495060457696572</v>
      </c>
      <c r="E1296" s="52">
        <v>0.20013053224952682</v>
      </c>
      <c r="F1296" s="52">
        <v>8.8074343109868475E-2</v>
      </c>
      <c r="G1296" s="52">
        <v>5.7442973950685698E-2</v>
      </c>
      <c r="H1296" s="52">
        <v>0.1133626245339427</v>
      </c>
      <c r="I1296" s="119">
        <v>454.69205797709225</v>
      </c>
    </row>
    <row r="1297" spans="1:9" x14ac:dyDescent="0.3">
      <c r="A1297" s="23">
        <v>1279</v>
      </c>
      <c r="B1297" s="52">
        <v>6.1781353439039531E-2</v>
      </c>
      <c r="C1297" s="52">
        <v>0.25390291672683118</v>
      </c>
      <c r="D1297" s="52">
        <v>0.65355573453492743</v>
      </c>
      <c r="E1297" s="52">
        <v>0.20749647066276458</v>
      </c>
      <c r="F1297" s="52">
        <v>9.8204750210148212E-2</v>
      </c>
      <c r="G1297" s="52">
        <v>6.1921533516677743E-2</v>
      </c>
      <c r="H1297" s="52">
        <v>9.8904784979749416E-2</v>
      </c>
      <c r="I1297" s="119">
        <v>268.01197767542368</v>
      </c>
    </row>
    <row r="1298" spans="1:9" x14ac:dyDescent="0.3">
      <c r="A1298" s="23">
        <v>1280</v>
      </c>
      <c r="B1298" s="52">
        <v>5.8676843851873897E-2</v>
      </c>
      <c r="C1298" s="52">
        <v>0.26617084535131519</v>
      </c>
      <c r="D1298" s="52">
        <v>0.47107615713771483</v>
      </c>
      <c r="E1298" s="52">
        <v>0.19581899431182298</v>
      </c>
      <c r="F1298" s="52">
        <v>9.753965041411336E-2</v>
      </c>
      <c r="G1298" s="52">
        <v>4.2105675732135084E-2</v>
      </c>
      <c r="H1298" s="52">
        <v>0.11298445628608045</v>
      </c>
      <c r="I1298" s="119">
        <v>143.93527512867053</v>
      </c>
    </row>
    <row r="1299" spans="1:9" x14ac:dyDescent="0.3">
      <c r="A1299" s="23">
        <v>1281</v>
      </c>
      <c r="B1299" s="52">
        <v>6.2548127649015198E-2</v>
      </c>
      <c r="C1299" s="52">
        <v>0.27044438437489593</v>
      </c>
      <c r="D1299" s="52">
        <v>0.51322716827610759</v>
      </c>
      <c r="E1299" s="52">
        <v>0.15868007677868554</v>
      </c>
      <c r="F1299" s="52">
        <v>9.6578554900654395E-2</v>
      </c>
      <c r="G1299" s="52">
        <v>4.692998577869676E-2</v>
      </c>
      <c r="H1299" s="52">
        <v>0.10465695227917918</v>
      </c>
      <c r="I1299" s="119">
        <v>203.5869091672804</v>
      </c>
    </row>
    <row r="1300" spans="1:9" x14ac:dyDescent="0.3">
      <c r="A1300" s="23">
        <v>1282</v>
      </c>
      <c r="B1300" s="52">
        <v>7.9126467059370417E-2</v>
      </c>
      <c r="C1300" s="52">
        <v>0.27758378854346494</v>
      </c>
      <c r="D1300" s="52">
        <v>0.50251269136773824</v>
      </c>
      <c r="E1300" s="52">
        <v>0.2190174230755631</v>
      </c>
      <c r="F1300" s="52">
        <v>0.100693934133418</v>
      </c>
      <c r="G1300" s="52">
        <v>5.6074471978140333E-2</v>
      </c>
      <c r="H1300" s="52">
        <v>0.10042060152593114</v>
      </c>
      <c r="I1300" s="119">
        <v>297.33246620427622</v>
      </c>
    </row>
    <row r="1301" spans="1:9" x14ac:dyDescent="0.3">
      <c r="A1301" s="23">
        <v>1283</v>
      </c>
      <c r="B1301" s="52">
        <v>6.7758353472003929E-2</v>
      </c>
      <c r="C1301" s="52">
        <v>0.28724248433728811</v>
      </c>
      <c r="D1301" s="52">
        <v>0.5531069646183786</v>
      </c>
      <c r="E1301" s="52">
        <v>0.18036631364341538</v>
      </c>
      <c r="F1301" s="52">
        <v>8.5669783048270748E-2</v>
      </c>
      <c r="G1301" s="52">
        <v>4.7189167457938531E-2</v>
      </c>
      <c r="H1301" s="52">
        <v>0.10639144730972128</v>
      </c>
      <c r="I1301" s="119">
        <v>421.76959888890093</v>
      </c>
    </row>
    <row r="1302" spans="1:9" x14ac:dyDescent="0.3">
      <c r="A1302" s="23">
        <v>1284</v>
      </c>
      <c r="B1302" s="52">
        <v>7.5903051614089903E-2</v>
      </c>
      <c r="C1302" s="52">
        <v>0.28384845762243693</v>
      </c>
      <c r="D1302" s="52">
        <v>0.72404198225483274</v>
      </c>
      <c r="E1302" s="52">
        <v>0.19125800099449092</v>
      </c>
      <c r="F1302" s="52">
        <v>0.10216062940909273</v>
      </c>
      <c r="G1302" s="52">
        <v>4.7799056858845321E-2</v>
      </c>
      <c r="H1302" s="52">
        <v>0.1008327562577348</v>
      </c>
      <c r="I1302" s="119">
        <v>225.47172044389686</v>
      </c>
    </row>
    <row r="1303" spans="1:9" x14ac:dyDescent="0.3">
      <c r="A1303" s="23">
        <v>1285</v>
      </c>
      <c r="B1303" s="52">
        <v>6.002070767176125E-2</v>
      </c>
      <c r="C1303" s="52">
        <v>0.28979718735136117</v>
      </c>
      <c r="D1303" s="52">
        <v>0.6023451938269484</v>
      </c>
      <c r="E1303" s="52">
        <v>0.18370167627917511</v>
      </c>
      <c r="F1303" s="52">
        <v>9.8174530283543532E-2</v>
      </c>
      <c r="G1303" s="52">
        <v>6.9584640866385147E-2</v>
      </c>
      <c r="H1303" s="52">
        <v>0.12439090213108306</v>
      </c>
      <c r="I1303" s="119">
        <v>576.73249525676226</v>
      </c>
    </row>
    <row r="1304" spans="1:9" x14ac:dyDescent="0.3">
      <c r="A1304" s="23">
        <v>1286</v>
      </c>
      <c r="B1304" s="52">
        <v>6.3471439147468417E-2</v>
      </c>
      <c r="C1304" s="52">
        <v>0.27249589887411346</v>
      </c>
      <c r="D1304" s="52">
        <v>0.53895917902673629</v>
      </c>
      <c r="E1304" s="52">
        <v>0.19801553656630835</v>
      </c>
      <c r="F1304" s="52">
        <v>0.10246632983842636</v>
      </c>
      <c r="G1304" s="52">
        <v>4.4874156331849276E-2</v>
      </c>
      <c r="H1304" s="52">
        <v>0.11162959396523538</v>
      </c>
      <c r="I1304" s="119">
        <v>150.10448096305461</v>
      </c>
    </row>
    <row r="1305" spans="1:9" x14ac:dyDescent="0.3">
      <c r="A1305" s="23">
        <v>1287</v>
      </c>
      <c r="B1305" s="52">
        <v>6.9010850195696236E-2</v>
      </c>
      <c r="C1305" s="52">
        <v>0.27627183062949356</v>
      </c>
      <c r="D1305" s="52">
        <v>0.48252537830628939</v>
      </c>
      <c r="E1305" s="52">
        <v>0.17365435240428595</v>
      </c>
      <c r="F1305" s="52">
        <v>0.10036702203929036</v>
      </c>
      <c r="G1305" s="52">
        <v>5.5781572386382039E-2</v>
      </c>
      <c r="H1305" s="52">
        <v>8.8402884862788217E-2</v>
      </c>
      <c r="I1305" s="119">
        <v>273.7062348578923</v>
      </c>
    </row>
    <row r="1306" spans="1:9" x14ac:dyDescent="0.3">
      <c r="A1306" s="23">
        <v>1288</v>
      </c>
      <c r="B1306" s="52">
        <v>5.2078003665924556E-2</v>
      </c>
      <c r="C1306" s="52">
        <v>0.27966268024071123</v>
      </c>
      <c r="D1306" s="52">
        <v>0.63124342025642743</v>
      </c>
      <c r="E1306" s="52">
        <v>0.20718421652421307</v>
      </c>
      <c r="F1306" s="52">
        <v>9.364123332500128E-2</v>
      </c>
      <c r="G1306" s="52">
        <v>5.0380539622631837E-2</v>
      </c>
      <c r="H1306" s="52">
        <v>9.4376842291466603E-2</v>
      </c>
      <c r="I1306" s="119">
        <v>279.29535275784815</v>
      </c>
    </row>
    <row r="1307" spans="1:9" x14ac:dyDescent="0.3">
      <c r="A1307" s="23">
        <v>1289</v>
      </c>
      <c r="B1307" s="52">
        <v>5.6335278045486208E-2</v>
      </c>
      <c r="C1307" s="52">
        <v>0.28026996254199915</v>
      </c>
      <c r="D1307" s="52">
        <v>0.48390217257026502</v>
      </c>
      <c r="E1307" s="52">
        <v>0.20212821341312809</v>
      </c>
      <c r="F1307" s="52">
        <v>0.1024480230061762</v>
      </c>
      <c r="G1307" s="52">
        <v>5.3198836687075424E-2</v>
      </c>
      <c r="H1307" s="52">
        <v>0.11124766797116097</v>
      </c>
      <c r="I1307" s="119">
        <v>219.12372978902044</v>
      </c>
    </row>
    <row r="1308" spans="1:9" x14ac:dyDescent="0.3">
      <c r="A1308" s="23">
        <v>1290</v>
      </c>
      <c r="B1308" s="52">
        <v>6.1939297629868439E-2</v>
      </c>
      <c r="C1308" s="52">
        <v>0.2785612487891766</v>
      </c>
      <c r="D1308" s="52">
        <v>0.45483740910165144</v>
      </c>
      <c r="E1308" s="52">
        <v>0.20524833085929198</v>
      </c>
      <c r="F1308" s="52">
        <v>9.5779987533760935E-2</v>
      </c>
      <c r="G1308" s="52">
        <v>4.1233263777530664E-2</v>
      </c>
      <c r="H1308" s="52">
        <v>8.0026832226281819E-2</v>
      </c>
      <c r="I1308" s="119">
        <v>194.49565415201153</v>
      </c>
    </row>
    <row r="1309" spans="1:9" x14ac:dyDescent="0.3">
      <c r="A1309" s="23">
        <v>1291</v>
      </c>
      <c r="B1309" s="52">
        <v>7.4337602721273016E-2</v>
      </c>
      <c r="C1309" s="52">
        <v>0.31419682659950654</v>
      </c>
      <c r="D1309" s="52">
        <v>0.46566911032743685</v>
      </c>
      <c r="E1309" s="52">
        <v>0.20034791412363601</v>
      </c>
      <c r="F1309" s="52">
        <v>0.10198730407281731</v>
      </c>
      <c r="G1309" s="52">
        <v>5.5505695106486848E-2</v>
      </c>
      <c r="H1309" s="52">
        <v>0.11690039194671845</v>
      </c>
      <c r="I1309" s="119">
        <v>400.25435316210007</v>
      </c>
    </row>
    <row r="1310" spans="1:9" x14ac:dyDescent="0.3">
      <c r="A1310" s="23">
        <v>1292</v>
      </c>
      <c r="B1310" s="52">
        <v>5.8381891363439076E-2</v>
      </c>
      <c r="C1310" s="52">
        <v>0.29668036083214055</v>
      </c>
      <c r="D1310" s="52">
        <v>0.62404706990384129</v>
      </c>
      <c r="E1310" s="52">
        <v>0.18151746779227707</v>
      </c>
      <c r="F1310" s="52">
        <v>0.10456467633337817</v>
      </c>
      <c r="G1310" s="52">
        <v>3.9888104537668299E-2</v>
      </c>
      <c r="H1310" s="52">
        <v>0.10218468638641004</v>
      </c>
      <c r="I1310" s="119">
        <v>167.22686594777153</v>
      </c>
    </row>
    <row r="1311" spans="1:9" x14ac:dyDescent="0.3">
      <c r="A1311" s="23">
        <v>1293</v>
      </c>
      <c r="B1311" s="52">
        <v>5.2136515118917419E-2</v>
      </c>
      <c r="C1311" s="52">
        <v>0.28908527145259227</v>
      </c>
      <c r="D1311" s="52">
        <v>0.49442694132514153</v>
      </c>
      <c r="E1311" s="52">
        <v>0.17968592631938016</v>
      </c>
      <c r="F1311" s="52">
        <v>9.0716595632556241E-2</v>
      </c>
      <c r="G1311" s="52">
        <v>5.8571279610298323E-2</v>
      </c>
      <c r="H1311" s="52">
        <v>0.10488297206640171</v>
      </c>
      <c r="I1311" s="119">
        <v>488.02472180877913</v>
      </c>
    </row>
    <row r="1312" spans="1:9" x14ac:dyDescent="0.3">
      <c r="A1312" s="23">
        <v>1294</v>
      </c>
      <c r="B1312" s="52">
        <v>6.1143047556035141E-2</v>
      </c>
      <c r="C1312" s="52">
        <v>0.27267257460999927</v>
      </c>
      <c r="D1312" s="52">
        <v>0.44261089639487572</v>
      </c>
      <c r="E1312" s="52">
        <v>0.20105272041097694</v>
      </c>
      <c r="F1312" s="52">
        <v>0.10458580100594063</v>
      </c>
      <c r="G1312" s="52">
        <v>6.0377915060435203E-2</v>
      </c>
      <c r="H1312" s="52">
        <v>0.10338357351127293</v>
      </c>
      <c r="I1312" s="119">
        <v>242.45242448423389</v>
      </c>
    </row>
    <row r="1313" spans="1:9" x14ac:dyDescent="0.3">
      <c r="A1313" s="23">
        <v>1295</v>
      </c>
      <c r="B1313" s="52">
        <v>6.3345716873343089E-2</v>
      </c>
      <c r="C1313" s="52">
        <v>0.29523981843612224</v>
      </c>
      <c r="D1313" s="52">
        <v>0.77623081703673602</v>
      </c>
      <c r="E1313" s="52">
        <v>0.2091574132540564</v>
      </c>
      <c r="F1313" s="52">
        <v>0.10149170645809402</v>
      </c>
      <c r="G1313" s="52">
        <v>5.9032873335056441E-2</v>
      </c>
      <c r="H1313" s="52">
        <v>9.4162253641736304E-2</v>
      </c>
      <c r="I1313" s="119">
        <v>354.1155426921747</v>
      </c>
    </row>
    <row r="1314" spans="1:9" x14ac:dyDescent="0.3">
      <c r="A1314" s="23">
        <v>1296</v>
      </c>
      <c r="B1314" s="52">
        <v>5.7396278424321566E-2</v>
      </c>
      <c r="C1314" s="52">
        <v>0.30225634057878875</v>
      </c>
      <c r="D1314" s="52">
        <v>0.46045064183413165</v>
      </c>
      <c r="E1314" s="52">
        <v>0.2014610278902165</v>
      </c>
      <c r="F1314" s="52">
        <v>9.4223883901685512E-2</v>
      </c>
      <c r="G1314" s="52">
        <v>5.8437320022634583E-2</v>
      </c>
      <c r="H1314" s="52">
        <v>0.1205943280633596</v>
      </c>
      <c r="I1314" s="119">
        <v>483.55691822028371</v>
      </c>
    </row>
    <row r="1315" spans="1:9" x14ac:dyDescent="0.3">
      <c r="A1315" s="23">
        <v>1297</v>
      </c>
      <c r="B1315" s="52">
        <v>6.5379959349211592E-2</v>
      </c>
      <c r="C1315" s="52">
        <v>0.26124322800959904</v>
      </c>
      <c r="D1315" s="52">
        <v>0.66934054049989389</v>
      </c>
      <c r="E1315" s="52">
        <v>0.19853315036479507</v>
      </c>
      <c r="F1315" s="52">
        <v>8.3733827157008944E-2</v>
      </c>
      <c r="G1315" s="52">
        <v>4.1339478506691875E-2</v>
      </c>
      <c r="H1315" s="52">
        <v>0.1071684863255436</v>
      </c>
      <c r="I1315" s="119">
        <v>261.38724761321947</v>
      </c>
    </row>
    <row r="1316" spans="1:9" x14ac:dyDescent="0.3">
      <c r="A1316" s="23">
        <v>1298</v>
      </c>
      <c r="B1316" s="52">
        <v>6.8440588315290596E-2</v>
      </c>
      <c r="C1316" s="52">
        <v>0.2809502407094181</v>
      </c>
      <c r="D1316" s="52">
        <v>0.68751229972536787</v>
      </c>
      <c r="E1316" s="52">
        <v>0.17179698907654337</v>
      </c>
      <c r="F1316" s="52">
        <v>9.9017769436811259E-2</v>
      </c>
      <c r="G1316" s="52">
        <v>5.1367734362281869E-2</v>
      </c>
      <c r="H1316" s="52">
        <v>0.11038703451362467</v>
      </c>
      <c r="I1316" s="119">
        <v>262.50393785865521</v>
      </c>
    </row>
    <row r="1317" spans="1:9" x14ac:dyDescent="0.3">
      <c r="A1317" s="23">
        <v>1299</v>
      </c>
      <c r="B1317" s="52">
        <v>5.9566017578675884E-2</v>
      </c>
      <c r="C1317" s="52">
        <v>0.291156356047377</v>
      </c>
      <c r="D1317" s="52">
        <v>0.49095753144309529</v>
      </c>
      <c r="E1317" s="52">
        <v>0.19246740479524774</v>
      </c>
      <c r="F1317" s="52">
        <v>9.6959399432899621E-2</v>
      </c>
      <c r="G1317" s="52">
        <v>4.2342478243895851E-2</v>
      </c>
      <c r="H1317" s="52">
        <v>0.11358949199953088</v>
      </c>
      <c r="I1317" s="119">
        <v>226.68788461877543</v>
      </c>
    </row>
    <row r="1318" spans="1:9" x14ac:dyDescent="0.3">
      <c r="A1318" s="23">
        <v>1300</v>
      </c>
      <c r="B1318" s="52">
        <v>6.1248200993217206E-2</v>
      </c>
      <c r="C1318" s="52">
        <v>0.27369739908230295</v>
      </c>
      <c r="D1318" s="52">
        <v>0.71250675676197306</v>
      </c>
      <c r="E1318" s="52">
        <v>0.18383984691812458</v>
      </c>
      <c r="F1318" s="52">
        <v>9.5025496869121248E-2</v>
      </c>
      <c r="G1318" s="52">
        <v>4.666540173004486E-2</v>
      </c>
      <c r="H1318" s="52">
        <v>9.6820669431654821E-2</v>
      </c>
      <c r="I1318" s="119">
        <v>225.16902816478853</v>
      </c>
    </row>
    <row r="1319" spans="1:9" x14ac:dyDescent="0.3">
      <c r="A1319" s="23">
        <v>1301</v>
      </c>
      <c r="B1319" s="52">
        <v>6.9778851257335933E-2</v>
      </c>
      <c r="C1319" s="52">
        <v>0.28351053067381626</v>
      </c>
      <c r="D1319" s="52">
        <v>0.56098687408731096</v>
      </c>
      <c r="E1319" s="52">
        <v>0.17175681222857819</v>
      </c>
      <c r="F1319" s="52">
        <v>0.10407532171200726</v>
      </c>
      <c r="G1319" s="52">
        <v>3.9697475386158608E-2</v>
      </c>
      <c r="H1319" s="52">
        <v>0.1100210014706749</v>
      </c>
      <c r="I1319" s="119">
        <v>151.41755263855839</v>
      </c>
    </row>
    <row r="1320" spans="1:9" x14ac:dyDescent="0.3">
      <c r="A1320" s="23">
        <v>1302</v>
      </c>
      <c r="B1320" s="52">
        <v>7.0386529134042072E-2</v>
      </c>
      <c r="C1320" s="52">
        <v>0.27187110514840807</v>
      </c>
      <c r="D1320" s="52">
        <v>0.52317040507234891</v>
      </c>
      <c r="E1320" s="52">
        <v>0.18975567324666417</v>
      </c>
      <c r="F1320" s="52">
        <v>9.8226892323015402E-2</v>
      </c>
      <c r="G1320" s="52">
        <v>5.2126212615018874E-2</v>
      </c>
      <c r="H1320" s="52">
        <v>0.10969875217585442</v>
      </c>
      <c r="I1320" s="119">
        <v>249.22521761287925</v>
      </c>
    </row>
    <row r="1321" spans="1:9" x14ac:dyDescent="0.3">
      <c r="A1321" s="23">
        <v>1303</v>
      </c>
      <c r="B1321" s="52">
        <v>6.2892290954633556E-2</v>
      </c>
      <c r="C1321" s="52">
        <v>0.27246260214269358</v>
      </c>
      <c r="D1321" s="52">
        <v>0.49962520288609363</v>
      </c>
      <c r="E1321" s="52">
        <v>0.19158564368731346</v>
      </c>
      <c r="F1321" s="52">
        <v>0.10121131035935019</v>
      </c>
      <c r="G1321" s="52">
        <v>4.8391460488180348E-2</v>
      </c>
      <c r="H1321" s="52">
        <v>9.5922202141847657E-2</v>
      </c>
      <c r="I1321" s="119">
        <v>180.65621963060212</v>
      </c>
    </row>
    <row r="1322" spans="1:9" x14ac:dyDescent="0.3">
      <c r="A1322" s="23">
        <v>1304</v>
      </c>
      <c r="B1322" s="52">
        <v>6.6205375873150535E-2</v>
      </c>
      <c r="C1322" s="52">
        <v>0.29793213133783525</v>
      </c>
      <c r="D1322" s="52">
        <v>0.45010023683556016</v>
      </c>
      <c r="E1322" s="52">
        <v>0.1953775435770351</v>
      </c>
      <c r="F1322" s="52">
        <v>9.3877897868044902E-2</v>
      </c>
      <c r="G1322" s="52">
        <v>5.9675751839401624E-2</v>
      </c>
      <c r="H1322" s="52">
        <v>9.5132624508617453E-2</v>
      </c>
      <c r="I1322" s="119">
        <v>520.25085029311299</v>
      </c>
    </row>
    <row r="1323" spans="1:9" x14ac:dyDescent="0.3">
      <c r="A1323" s="23">
        <v>1305</v>
      </c>
      <c r="B1323" s="52">
        <v>6.6671596206632822E-2</v>
      </c>
      <c r="C1323" s="52">
        <v>0.29486530244180065</v>
      </c>
      <c r="D1323" s="52">
        <v>0.48972532984426409</v>
      </c>
      <c r="E1323" s="52">
        <v>0.17784012784154685</v>
      </c>
      <c r="F1323" s="52">
        <v>9.6950207624861229E-2</v>
      </c>
      <c r="G1323" s="52">
        <v>6.0712386263474333E-2</v>
      </c>
      <c r="H1323" s="52">
        <v>0.1051972629125689</v>
      </c>
      <c r="I1323" s="119">
        <v>461.73903561747045</v>
      </c>
    </row>
    <row r="1324" spans="1:9" x14ac:dyDescent="0.3">
      <c r="A1324" s="23">
        <v>1306</v>
      </c>
      <c r="B1324" s="52">
        <v>6.1133361451376225E-2</v>
      </c>
      <c r="C1324" s="52">
        <v>0.28398070152779481</v>
      </c>
      <c r="D1324" s="52">
        <v>0.48229522571115546</v>
      </c>
      <c r="E1324" s="52">
        <v>0.18138262068555483</v>
      </c>
      <c r="F1324" s="52">
        <v>9.7300335780453162E-2</v>
      </c>
      <c r="G1324" s="52">
        <v>6.4837655431442945E-2</v>
      </c>
      <c r="H1324" s="52">
        <v>0.10755642248037027</v>
      </c>
      <c r="I1324" s="119">
        <v>465.45954338361923</v>
      </c>
    </row>
    <row r="1325" spans="1:9" x14ac:dyDescent="0.3">
      <c r="A1325" s="23">
        <v>1307</v>
      </c>
      <c r="B1325" s="52">
        <v>5.1052648074399215E-2</v>
      </c>
      <c r="C1325" s="52">
        <v>0.27518396080662311</v>
      </c>
      <c r="D1325" s="52">
        <v>0.4298893906448914</v>
      </c>
      <c r="E1325" s="52">
        <v>0.17064265423169836</v>
      </c>
      <c r="F1325" s="52">
        <v>9.160977697220607E-2</v>
      </c>
      <c r="G1325" s="52">
        <v>4.0130840278174845E-2</v>
      </c>
      <c r="H1325" s="52">
        <v>9.8465405706105555E-2</v>
      </c>
      <c r="I1325" s="119">
        <v>194.30732556882327</v>
      </c>
    </row>
    <row r="1326" spans="1:9" x14ac:dyDescent="0.3">
      <c r="A1326" s="23">
        <v>1308</v>
      </c>
      <c r="B1326" s="52">
        <v>6.8203907784647341E-2</v>
      </c>
      <c r="C1326" s="52">
        <v>0.27389411787358775</v>
      </c>
      <c r="D1326" s="52">
        <v>0.58728050982230995</v>
      </c>
      <c r="E1326" s="52">
        <v>0.1910475190536326</v>
      </c>
      <c r="F1326" s="52">
        <v>9.5995064527558599E-2</v>
      </c>
      <c r="G1326" s="52">
        <v>4.8401467599235685E-2</v>
      </c>
      <c r="H1326" s="52">
        <v>0.114081280699246</v>
      </c>
      <c r="I1326" s="119">
        <v>242.94833078432697</v>
      </c>
    </row>
    <row r="1327" spans="1:9" x14ac:dyDescent="0.3">
      <c r="A1327" s="23">
        <v>1309</v>
      </c>
      <c r="B1327" s="52">
        <v>5.8173650528505386E-2</v>
      </c>
      <c r="C1327" s="52">
        <v>0.27414697561897661</v>
      </c>
      <c r="D1327" s="52">
        <v>0.59093566916205653</v>
      </c>
      <c r="E1327" s="52">
        <v>0.21177375689651728</v>
      </c>
      <c r="F1327" s="52">
        <v>0.10387547265107244</v>
      </c>
      <c r="G1327" s="52">
        <v>6.2356642453924319E-2</v>
      </c>
      <c r="H1327" s="52">
        <v>0.10945731974172301</v>
      </c>
      <c r="I1327" s="119">
        <v>270.87707231188108</v>
      </c>
    </row>
    <row r="1328" spans="1:9" x14ac:dyDescent="0.3">
      <c r="A1328" s="23">
        <v>1310</v>
      </c>
      <c r="B1328" s="52">
        <v>5.5585322017975343E-2</v>
      </c>
      <c r="C1328" s="52">
        <v>0.28348788233396321</v>
      </c>
      <c r="D1328" s="52">
        <v>0.46986524446198963</v>
      </c>
      <c r="E1328" s="52">
        <v>0.20254211240743927</v>
      </c>
      <c r="F1328" s="52">
        <v>8.6968709509133504E-2</v>
      </c>
      <c r="G1328" s="52">
        <v>4.4434698439319263E-2</v>
      </c>
      <c r="H1328" s="52">
        <v>8.0299812327930847E-2</v>
      </c>
      <c r="I1328" s="119">
        <v>321.44813118103787</v>
      </c>
    </row>
    <row r="1329" spans="1:9" x14ac:dyDescent="0.3">
      <c r="A1329" s="23">
        <v>1311</v>
      </c>
      <c r="B1329" s="52">
        <v>5.9132965476628094E-2</v>
      </c>
      <c r="C1329" s="52">
        <v>0.28873670095800158</v>
      </c>
      <c r="D1329" s="52">
        <v>0.4308256364780419</v>
      </c>
      <c r="E1329" s="52">
        <v>0.18036027676805802</v>
      </c>
      <c r="F1329" s="52">
        <v>9.8677109567990737E-2</v>
      </c>
      <c r="G1329" s="52">
        <v>5.7020892221181466E-2</v>
      </c>
      <c r="H1329" s="52">
        <v>9.5668324932256132E-2</v>
      </c>
      <c r="I1329" s="119">
        <v>335.83299757194175</v>
      </c>
    </row>
    <row r="1330" spans="1:9" x14ac:dyDescent="0.3">
      <c r="A1330" s="23">
        <v>1312</v>
      </c>
      <c r="B1330" s="52">
        <v>6.969128959822507E-2</v>
      </c>
      <c r="C1330" s="52">
        <v>0.27773350516774287</v>
      </c>
      <c r="D1330" s="52">
        <v>0.44411843592804873</v>
      </c>
      <c r="E1330" s="52">
        <v>0.17773986487842328</v>
      </c>
      <c r="F1330" s="52">
        <v>8.3988005603612415E-2</v>
      </c>
      <c r="G1330" s="52">
        <v>6.1642547947040535E-2</v>
      </c>
      <c r="H1330" s="52">
        <v>0.1002674964531256</v>
      </c>
      <c r="I1330" s="119">
        <v>792.49189657820648</v>
      </c>
    </row>
    <row r="1331" spans="1:9" x14ac:dyDescent="0.3">
      <c r="A1331" s="23">
        <v>1313</v>
      </c>
      <c r="B1331" s="52">
        <v>5.296499530527761E-2</v>
      </c>
      <c r="C1331" s="52">
        <v>0.28874648715730944</v>
      </c>
      <c r="D1331" s="52">
        <v>0.43696021728810258</v>
      </c>
      <c r="E1331" s="52">
        <v>0.17198897954079634</v>
      </c>
      <c r="F1331" s="52">
        <v>9.3152227511265812E-2</v>
      </c>
      <c r="G1331" s="52">
        <v>5.0487467919793118E-2</v>
      </c>
      <c r="H1331" s="52">
        <v>0.11557524939165394</v>
      </c>
      <c r="I1331" s="119">
        <v>321.69286805565361</v>
      </c>
    </row>
    <row r="1332" spans="1:9" x14ac:dyDescent="0.3">
      <c r="A1332" s="23">
        <v>1314</v>
      </c>
      <c r="B1332" s="52">
        <v>5.1720195332207855E-2</v>
      </c>
      <c r="C1332" s="52">
        <v>0.27207529606005759</v>
      </c>
      <c r="D1332" s="52">
        <v>0.54349282546147504</v>
      </c>
      <c r="E1332" s="52">
        <v>0.19488593371818416</v>
      </c>
      <c r="F1332" s="52">
        <v>8.5583360969366237E-2</v>
      </c>
      <c r="G1332" s="52">
        <v>5.6745553318373096E-2</v>
      </c>
      <c r="H1332" s="52">
        <v>0.10066376860619317</v>
      </c>
      <c r="I1332" s="119">
        <v>487.03715271769039</v>
      </c>
    </row>
    <row r="1333" spans="1:9" x14ac:dyDescent="0.3">
      <c r="A1333" s="23">
        <v>1315</v>
      </c>
      <c r="B1333" s="52">
        <v>7.0280807564260583E-2</v>
      </c>
      <c r="C1333" s="52">
        <v>0.29239622514730507</v>
      </c>
      <c r="D1333" s="52">
        <v>0.69398538842209245</v>
      </c>
      <c r="E1333" s="52">
        <v>0.18683945063864293</v>
      </c>
      <c r="F1333" s="52">
        <v>0.10197424093506012</v>
      </c>
      <c r="G1333" s="52">
        <v>6.9014143719958981E-2</v>
      </c>
      <c r="H1333" s="52">
        <v>0.12169254304635034</v>
      </c>
      <c r="I1333" s="119">
        <v>509.17577496744008</v>
      </c>
    </row>
    <row r="1334" spans="1:9" x14ac:dyDescent="0.3">
      <c r="A1334" s="23">
        <v>1316</v>
      </c>
      <c r="B1334" s="52">
        <v>6.1246563692546954E-2</v>
      </c>
      <c r="C1334" s="52">
        <v>0.28626734971363399</v>
      </c>
      <c r="D1334" s="52">
        <v>0.50936134691068036</v>
      </c>
      <c r="E1334" s="52">
        <v>0.19902134723450793</v>
      </c>
      <c r="F1334" s="52">
        <v>0.10206948210206886</v>
      </c>
      <c r="G1334" s="52">
        <v>4.4641818211481984E-2</v>
      </c>
      <c r="H1334" s="52">
        <v>0.10355314941446368</v>
      </c>
      <c r="I1334" s="119">
        <v>188.13955108296844</v>
      </c>
    </row>
    <row r="1335" spans="1:9" x14ac:dyDescent="0.3">
      <c r="A1335" s="23">
        <v>1317</v>
      </c>
      <c r="B1335" s="52">
        <v>5.8739101639026334E-2</v>
      </c>
      <c r="C1335" s="52">
        <v>0.29074660838022864</v>
      </c>
      <c r="D1335" s="52">
        <v>0.66235965093033156</v>
      </c>
      <c r="E1335" s="52">
        <v>0.17769922515024458</v>
      </c>
      <c r="F1335" s="52">
        <v>0.10381961264385914</v>
      </c>
      <c r="G1335" s="52">
        <v>6.1136643345996215E-2</v>
      </c>
      <c r="H1335" s="52">
        <v>9.5835728348814708E-2</v>
      </c>
      <c r="I1335" s="119">
        <v>320.05676776678695</v>
      </c>
    </row>
    <row r="1336" spans="1:9" x14ac:dyDescent="0.3">
      <c r="A1336" s="23">
        <v>1318</v>
      </c>
      <c r="B1336" s="52">
        <v>4.7808812717620795E-2</v>
      </c>
      <c r="C1336" s="52">
        <v>0.29019526072423241</v>
      </c>
      <c r="D1336" s="52">
        <v>0.4451082925246212</v>
      </c>
      <c r="E1336" s="52">
        <v>0.19337168943730298</v>
      </c>
      <c r="F1336" s="52">
        <v>8.7900766611495512E-2</v>
      </c>
      <c r="G1336" s="52">
        <v>3.5606018378639685E-2</v>
      </c>
      <c r="H1336" s="52">
        <v>0.10534863711374162</v>
      </c>
      <c r="I1336" s="119">
        <v>235.25527911653575</v>
      </c>
    </row>
    <row r="1337" spans="1:9" x14ac:dyDescent="0.3">
      <c r="A1337" s="23">
        <v>1319</v>
      </c>
      <c r="B1337" s="52">
        <v>6.9632008170642606E-2</v>
      </c>
      <c r="C1337" s="52">
        <v>0.28671890758238538</v>
      </c>
      <c r="D1337" s="52">
        <v>0.59793463006015091</v>
      </c>
      <c r="E1337" s="52">
        <v>0.19776405456159213</v>
      </c>
      <c r="F1337" s="52">
        <v>0.10046297761246382</v>
      </c>
      <c r="G1337" s="52">
        <v>5.4370431259871246E-2</v>
      </c>
      <c r="H1337" s="52">
        <v>9.6871923018414213E-2</v>
      </c>
      <c r="I1337" s="119">
        <v>297.6879373540196</v>
      </c>
    </row>
    <row r="1338" spans="1:9" x14ac:dyDescent="0.3">
      <c r="A1338" s="23">
        <v>1320</v>
      </c>
      <c r="B1338" s="52">
        <v>6.1813293213862239E-2</v>
      </c>
      <c r="C1338" s="52">
        <v>0.29047078518022373</v>
      </c>
      <c r="D1338" s="52">
        <v>0.57436142846677385</v>
      </c>
      <c r="E1338" s="52">
        <v>0.201173648221009</v>
      </c>
      <c r="F1338" s="52">
        <v>0.10145816358881603</v>
      </c>
      <c r="G1338" s="52">
        <v>4.7340735934162818E-2</v>
      </c>
      <c r="H1338" s="52">
        <v>0.11273559770013292</v>
      </c>
      <c r="I1338" s="119">
        <v>224.82516632570716</v>
      </c>
    </row>
    <row r="1339" spans="1:9" x14ac:dyDescent="0.3">
      <c r="A1339" s="23">
        <v>1321</v>
      </c>
      <c r="B1339" s="52">
        <v>6.8657453243583771E-2</v>
      </c>
      <c r="C1339" s="52">
        <v>0.27452484642540226</v>
      </c>
      <c r="D1339" s="52">
        <v>0.49840752530890442</v>
      </c>
      <c r="E1339" s="52">
        <v>0.19649904350956232</v>
      </c>
      <c r="F1339" s="52">
        <v>0.10361106213626771</v>
      </c>
      <c r="G1339" s="52">
        <v>4.5607120094006685E-2</v>
      </c>
      <c r="H1339" s="52">
        <v>0.11801211033079158</v>
      </c>
      <c r="I1339" s="119">
        <v>159.52054719484866</v>
      </c>
    </row>
    <row r="1340" spans="1:9" x14ac:dyDescent="0.3">
      <c r="A1340" s="23">
        <v>1322</v>
      </c>
      <c r="B1340" s="52">
        <v>6.1538556248669524E-2</v>
      </c>
      <c r="C1340" s="52">
        <v>0.29631295528888107</v>
      </c>
      <c r="D1340" s="52">
        <v>0.65299382450161247</v>
      </c>
      <c r="E1340" s="52">
        <v>0.19047614681971989</v>
      </c>
      <c r="F1340" s="52">
        <v>0.103292666677002</v>
      </c>
      <c r="G1340" s="52">
        <v>5.1373088820011778E-2</v>
      </c>
      <c r="H1340" s="52">
        <v>0.10435273036660742</v>
      </c>
      <c r="I1340" s="119">
        <v>256.18151167805769</v>
      </c>
    </row>
    <row r="1341" spans="1:9" x14ac:dyDescent="0.3">
      <c r="A1341" s="23">
        <v>1323</v>
      </c>
      <c r="B1341" s="52">
        <v>5.2967021703567228E-2</v>
      </c>
      <c r="C1341" s="52">
        <v>0.28002762375856821</v>
      </c>
      <c r="D1341" s="52">
        <v>0.54395003009898268</v>
      </c>
      <c r="E1341" s="52">
        <v>0.19725860113683549</v>
      </c>
      <c r="F1341" s="52">
        <v>9.3245061905707749E-2</v>
      </c>
      <c r="G1341" s="52">
        <v>6.2283822903851663E-2</v>
      </c>
      <c r="H1341" s="52">
        <v>0.10143911912846217</v>
      </c>
      <c r="I1341" s="119">
        <v>464.78347458125296</v>
      </c>
    </row>
    <row r="1342" spans="1:9" x14ac:dyDescent="0.3">
      <c r="A1342" s="23">
        <v>1324</v>
      </c>
      <c r="B1342" s="52">
        <v>5.4672076557913944E-2</v>
      </c>
      <c r="C1342" s="52">
        <v>0.28895934006129276</v>
      </c>
      <c r="D1342" s="52">
        <v>0.52984094918573699</v>
      </c>
      <c r="E1342" s="52">
        <v>0.2290244357361593</v>
      </c>
      <c r="F1342" s="52">
        <v>9.4337654365343665E-2</v>
      </c>
      <c r="G1342" s="52">
        <v>6.6066321960889698E-2</v>
      </c>
      <c r="H1342" s="52">
        <v>0.11984238616091789</v>
      </c>
      <c r="I1342" s="119">
        <v>574.8756266329807</v>
      </c>
    </row>
    <row r="1343" spans="1:9" x14ac:dyDescent="0.3">
      <c r="A1343" s="23">
        <v>1325</v>
      </c>
      <c r="B1343" s="52">
        <v>7.223572217985845E-2</v>
      </c>
      <c r="C1343" s="52">
        <v>0.28097108210857252</v>
      </c>
      <c r="D1343" s="52">
        <v>0.51859191528049053</v>
      </c>
      <c r="E1343" s="52">
        <v>0.18526170048691179</v>
      </c>
      <c r="F1343" s="52">
        <v>9.4510469633280914E-2</v>
      </c>
      <c r="G1343" s="52">
        <v>5.097074630061818E-2</v>
      </c>
      <c r="H1343" s="52">
        <v>0.10952432619111674</v>
      </c>
      <c r="I1343" s="119">
        <v>320.26735404792583</v>
      </c>
    </row>
    <row r="1344" spans="1:9" x14ac:dyDescent="0.3">
      <c r="A1344" s="23">
        <v>1326</v>
      </c>
      <c r="B1344" s="52">
        <v>7.1115287209540037E-2</v>
      </c>
      <c r="C1344" s="52">
        <v>0.28256423463008185</v>
      </c>
      <c r="D1344" s="52">
        <v>0.48798998111987824</v>
      </c>
      <c r="E1344" s="52">
        <v>0.18972281091464163</v>
      </c>
      <c r="F1344" s="52">
        <v>0.10176335395876283</v>
      </c>
      <c r="G1344" s="52">
        <v>4.828723419388023E-2</v>
      </c>
      <c r="H1344" s="52">
        <v>8.571311213029667E-2</v>
      </c>
      <c r="I1344" s="119">
        <v>220.33672131605567</v>
      </c>
    </row>
    <row r="1345" spans="1:9" x14ac:dyDescent="0.3">
      <c r="A1345" s="23">
        <v>1327</v>
      </c>
      <c r="B1345" s="52">
        <v>7.146645481380777E-2</v>
      </c>
      <c r="C1345" s="52">
        <v>0.28758838128150899</v>
      </c>
      <c r="D1345" s="52">
        <v>0.49110158325819425</v>
      </c>
      <c r="E1345" s="52">
        <v>0.18538789580278717</v>
      </c>
      <c r="F1345" s="52">
        <v>9.9520075474339026E-2</v>
      </c>
      <c r="G1345" s="52">
        <v>4.016466541607451E-2</v>
      </c>
      <c r="H1345" s="52">
        <v>9.7246884384690507E-2</v>
      </c>
      <c r="I1345" s="119">
        <v>200.17630282583428</v>
      </c>
    </row>
    <row r="1346" spans="1:9" x14ac:dyDescent="0.3">
      <c r="A1346" s="23">
        <v>1328</v>
      </c>
      <c r="B1346" s="52">
        <v>5.8798346985576122E-2</v>
      </c>
      <c r="C1346" s="52">
        <v>0.29471065270182872</v>
      </c>
      <c r="D1346" s="52">
        <v>0.62756518589812516</v>
      </c>
      <c r="E1346" s="52">
        <v>0.19105733241215556</v>
      </c>
      <c r="F1346" s="52">
        <v>0.10029023661727252</v>
      </c>
      <c r="G1346" s="52">
        <v>5.6731854654556282E-2</v>
      </c>
      <c r="H1346" s="52">
        <v>9.8656779937436115E-2</v>
      </c>
      <c r="I1346" s="119">
        <v>331.51508076984953</v>
      </c>
    </row>
    <row r="1347" spans="1:9" x14ac:dyDescent="0.3">
      <c r="A1347" s="23">
        <v>1329</v>
      </c>
      <c r="B1347" s="52">
        <v>6.5625409114387773E-2</v>
      </c>
      <c r="C1347" s="52">
        <v>0.26990338249043538</v>
      </c>
      <c r="D1347" s="52">
        <v>0.40772448183630822</v>
      </c>
      <c r="E1347" s="52">
        <v>0.18191191318720337</v>
      </c>
      <c r="F1347" s="52">
        <v>9.7645679068173494E-2</v>
      </c>
      <c r="G1347" s="52">
        <v>5.8135797862907623E-2</v>
      </c>
      <c r="H1347" s="52">
        <v>0.11102744398044577</v>
      </c>
      <c r="I1347" s="119">
        <v>303.67737326064332</v>
      </c>
    </row>
    <row r="1348" spans="1:9" x14ac:dyDescent="0.3">
      <c r="A1348" s="23">
        <v>1330</v>
      </c>
      <c r="B1348" s="52">
        <v>7.272269411109436E-2</v>
      </c>
      <c r="C1348" s="52">
        <v>0.2742175351216366</v>
      </c>
      <c r="D1348" s="52">
        <v>0.63142612136156551</v>
      </c>
      <c r="E1348" s="52">
        <v>0.18496607412610494</v>
      </c>
      <c r="F1348" s="52">
        <v>9.8228973468061059E-2</v>
      </c>
      <c r="G1348" s="52">
        <v>5.278842358146496E-2</v>
      </c>
      <c r="H1348" s="52">
        <v>8.249524510402817E-2</v>
      </c>
      <c r="I1348" s="119">
        <v>268.43811901712996</v>
      </c>
    </row>
    <row r="1349" spans="1:9" x14ac:dyDescent="0.3">
      <c r="A1349" s="23">
        <v>1331</v>
      </c>
      <c r="B1349" s="52">
        <v>5.168608751133659E-2</v>
      </c>
      <c r="C1349" s="52">
        <v>0.27779223109684281</v>
      </c>
      <c r="D1349" s="52">
        <v>0.43002108550869961</v>
      </c>
      <c r="E1349" s="52">
        <v>0.16171261784259591</v>
      </c>
      <c r="F1349" s="52">
        <v>9.4300281257607477E-2</v>
      </c>
      <c r="G1349" s="52">
        <v>5.6702596896863133E-2</v>
      </c>
      <c r="H1349" s="52">
        <v>0.10317635928353877</v>
      </c>
      <c r="I1349" s="119">
        <v>337.8304832824989</v>
      </c>
    </row>
    <row r="1350" spans="1:9" x14ac:dyDescent="0.3">
      <c r="A1350" s="23">
        <v>1332</v>
      </c>
      <c r="B1350" s="52">
        <v>7.0459981096698113E-2</v>
      </c>
      <c r="C1350" s="52">
        <v>0.29243239960845746</v>
      </c>
      <c r="D1350" s="52">
        <v>0.53026256177368647</v>
      </c>
      <c r="E1350" s="52">
        <v>0.19054855664011852</v>
      </c>
      <c r="F1350" s="52">
        <v>0.10087318105157819</v>
      </c>
      <c r="G1350" s="52">
        <v>7.4855723981569949E-2</v>
      </c>
      <c r="H1350" s="52">
        <v>9.4191992095061572E-2</v>
      </c>
      <c r="I1350" s="119">
        <v>694.06722981277767</v>
      </c>
    </row>
    <row r="1351" spans="1:9" x14ac:dyDescent="0.3">
      <c r="A1351" s="23">
        <v>1333</v>
      </c>
      <c r="B1351" s="52">
        <v>5.1610323196914616E-2</v>
      </c>
      <c r="C1351" s="52">
        <v>0.27864790389447425</v>
      </c>
      <c r="D1351" s="52">
        <v>0.46027065997875793</v>
      </c>
      <c r="E1351" s="52">
        <v>0.20710866079126267</v>
      </c>
      <c r="F1351" s="52">
        <v>9.9923173067497345E-2</v>
      </c>
      <c r="G1351" s="52">
        <v>5.6628058658465805E-2</v>
      </c>
      <c r="H1351" s="52">
        <v>0.11432737018917284</v>
      </c>
      <c r="I1351" s="119">
        <v>263.08682928992346</v>
      </c>
    </row>
    <row r="1352" spans="1:9" x14ac:dyDescent="0.3">
      <c r="A1352" s="23">
        <v>1334</v>
      </c>
      <c r="B1352" s="52">
        <v>5.2992903285111151E-2</v>
      </c>
      <c r="C1352" s="52">
        <v>0.29307649184324203</v>
      </c>
      <c r="D1352" s="52">
        <v>0.51195579902470723</v>
      </c>
      <c r="E1352" s="52">
        <v>0.20685533806221895</v>
      </c>
      <c r="F1352" s="52">
        <v>8.3309212832532051E-2</v>
      </c>
      <c r="G1352" s="52">
        <v>5.321473548228086E-2</v>
      </c>
      <c r="H1352" s="52">
        <v>0.11575560044708395</v>
      </c>
      <c r="I1352" s="119">
        <v>576.87273926934517</v>
      </c>
    </row>
    <row r="1353" spans="1:9" x14ac:dyDescent="0.3">
      <c r="A1353" s="23">
        <v>1335</v>
      </c>
      <c r="B1353" s="52">
        <v>6.2958320846390997E-2</v>
      </c>
      <c r="C1353" s="52">
        <v>0.27736970793014543</v>
      </c>
      <c r="D1353" s="52">
        <v>0.48244463915400249</v>
      </c>
      <c r="E1353" s="52">
        <v>0.19269110996613958</v>
      </c>
      <c r="F1353" s="52">
        <v>9.8869587386406776E-2</v>
      </c>
      <c r="G1353" s="52">
        <v>6.8930174661469348E-2</v>
      </c>
      <c r="H1353" s="52">
        <v>0.12150551930208753</v>
      </c>
      <c r="I1353" s="119">
        <v>486.30896923318437</v>
      </c>
    </row>
    <row r="1354" spans="1:9" x14ac:dyDescent="0.3">
      <c r="A1354" s="23">
        <v>1336</v>
      </c>
      <c r="B1354" s="52">
        <v>6.4818566587808865E-2</v>
      </c>
      <c r="C1354" s="52">
        <v>0.30305660172693005</v>
      </c>
      <c r="D1354" s="52">
        <v>0.52519753337653508</v>
      </c>
      <c r="E1354" s="52">
        <v>0.18461647377456181</v>
      </c>
      <c r="F1354" s="52">
        <v>9.2263999643916267E-2</v>
      </c>
      <c r="G1354" s="52">
        <v>4.0216786936293394E-2</v>
      </c>
      <c r="H1354" s="52">
        <v>8.7682865136302426E-2</v>
      </c>
      <c r="I1354" s="119">
        <v>303.13710628759424</v>
      </c>
    </row>
    <row r="1355" spans="1:9" x14ac:dyDescent="0.3">
      <c r="A1355" s="23">
        <v>1337</v>
      </c>
      <c r="B1355" s="52">
        <v>6.2523950997303041E-2</v>
      </c>
      <c r="C1355" s="52">
        <v>0.30997214723946243</v>
      </c>
      <c r="D1355" s="52">
        <v>0.5548863588809182</v>
      </c>
      <c r="E1355" s="52">
        <v>0.18189457595315897</v>
      </c>
      <c r="F1355" s="52">
        <v>9.1032515517799797E-2</v>
      </c>
      <c r="G1355" s="52">
        <v>4.6084909563296833E-2</v>
      </c>
      <c r="H1355" s="52">
        <v>8.6635601067187137E-2</v>
      </c>
      <c r="I1355" s="119">
        <v>399.07434531353942</v>
      </c>
    </row>
    <row r="1356" spans="1:9" x14ac:dyDescent="0.3">
      <c r="A1356" s="23">
        <v>1338</v>
      </c>
      <c r="B1356" s="52">
        <v>6.9920943405674563E-2</v>
      </c>
      <c r="C1356" s="52">
        <v>0.29531597888196898</v>
      </c>
      <c r="D1356" s="52">
        <v>0.45215971302045244</v>
      </c>
      <c r="E1356" s="52">
        <v>0.20111465736235376</v>
      </c>
      <c r="F1356" s="52">
        <v>9.4437425271071809E-2</v>
      </c>
      <c r="G1356" s="52">
        <v>5.9207599128705976E-2</v>
      </c>
      <c r="H1356" s="52">
        <v>0.11306249526332675</v>
      </c>
      <c r="I1356" s="119">
        <v>497.30453214785462</v>
      </c>
    </row>
    <row r="1357" spans="1:9" x14ac:dyDescent="0.3">
      <c r="A1357" s="23">
        <v>1339</v>
      </c>
      <c r="B1357" s="52">
        <v>6.9435384587691051E-2</v>
      </c>
      <c r="C1357" s="52">
        <v>0.27958131417616494</v>
      </c>
      <c r="D1357" s="52">
        <v>0.51823149193626161</v>
      </c>
      <c r="E1357" s="52">
        <v>0.21057670972632853</v>
      </c>
      <c r="F1357" s="52">
        <v>9.9401671071066677E-2</v>
      </c>
      <c r="G1357" s="52">
        <v>5.6828690535685983E-2</v>
      </c>
      <c r="H1357" s="52">
        <v>0.1215622243575117</v>
      </c>
      <c r="I1357" s="119">
        <v>310.42637321242859</v>
      </c>
    </row>
    <row r="1358" spans="1:9" x14ac:dyDescent="0.3">
      <c r="A1358" s="23">
        <v>1340</v>
      </c>
      <c r="B1358" s="52">
        <v>5.7065011605450862E-2</v>
      </c>
      <c r="C1358" s="52">
        <v>0.28024886369148905</v>
      </c>
      <c r="D1358" s="52">
        <v>0.43952666097984699</v>
      </c>
      <c r="E1358" s="52">
        <v>0.20609989708506968</v>
      </c>
      <c r="F1358" s="52">
        <v>9.345130486097529E-2</v>
      </c>
      <c r="G1358" s="52">
        <v>5.1702445061758459E-2</v>
      </c>
      <c r="H1358" s="52">
        <v>9.2437340810520616E-2</v>
      </c>
      <c r="I1358" s="119">
        <v>308.51333329167022</v>
      </c>
    </row>
    <row r="1359" spans="1:9" x14ac:dyDescent="0.3">
      <c r="A1359" s="23">
        <v>1341</v>
      </c>
      <c r="B1359" s="52">
        <v>7.0341322717032057E-2</v>
      </c>
      <c r="C1359" s="52">
        <v>0.24718954575522797</v>
      </c>
      <c r="D1359" s="52">
        <v>0.57410988980051414</v>
      </c>
      <c r="E1359" s="52">
        <v>0.19868577351718728</v>
      </c>
      <c r="F1359" s="52">
        <v>0.10326141552983589</v>
      </c>
      <c r="G1359" s="52">
        <v>5.9532055354614685E-2</v>
      </c>
      <c r="H1359" s="52">
        <v>9.2626924265512542E-2</v>
      </c>
      <c r="I1359" s="119">
        <v>170.74247458150452</v>
      </c>
    </row>
    <row r="1360" spans="1:9" x14ac:dyDescent="0.3">
      <c r="A1360" s="23">
        <v>1342</v>
      </c>
      <c r="B1360" s="52">
        <v>7.0594738433957208E-2</v>
      </c>
      <c r="C1360" s="52">
        <v>0.2960084587447836</v>
      </c>
      <c r="D1360" s="52">
        <v>0.68896810401072428</v>
      </c>
      <c r="E1360" s="52">
        <v>0.19688063691839516</v>
      </c>
      <c r="F1360" s="52">
        <v>0.10174168661661641</v>
      </c>
      <c r="G1360" s="52">
        <v>3.0933239948280167E-2</v>
      </c>
      <c r="H1360" s="52">
        <v>0.11314780899308768</v>
      </c>
      <c r="I1360" s="119">
        <v>157.78110921444724</v>
      </c>
    </row>
    <row r="1361" spans="1:9" x14ac:dyDescent="0.3">
      <c r="A1361" s="23">
        <v>1343</v>
      </c>
      <c r="B1361" s="52">
        <v>7.7272056472894562E-2</v>
      </c>
      <c r="C1361" s="52">
        <v>0.25316136187646265</v>
      </c>
      <c r="D1361" s="52">
        <v>0.43604229714149229</v>
      </c>
      <c r="E1361" s="52">
        <v>0.18033393270451462</v>
      </c>
      <c r="F1361" s="52">
        <v>9.5364705086728008E-2</v>
      </c>
      <c r="G1361" s="52">
        <v>5.4560917014395235E-2</v>
      </c>
      <c r="H1361" s="52">
        <v>0.10324552937696346</v>
      </c>
      <c r="I1361" s="119">
        <v>245.49551613731799</v>
      </c>
    </row>
    <row r="1362" spans="1:9" x14ac:dyDescent="0.3">
      <c r="A1362" s="23">
        <v>1344</v>
      </c>
      <c r="B1362" s="52">
        <v>5.8807664855821284E-2</v>
      </c>
      <c r="C1362" s="52">
        <v>0.29773645860256148</v>
      </c>
      <c r="D1362" s="52">
        <v>0.71089296591494833</v>
      </c>
      <c r="E1362" s="52">
        <v>0.1889589671028134</v>
      </c>
      <c r="F1362" s="52">
        <v>0.10331631050186831</v>
      </c>
      <c r="G1362" s="52">
        <v>4.0899185263802429E-2</v>
      </c>
      <c r="H1362" s="52">
        <v>0.11030427562599221</v>
      </c>
      <c r="I1362" s="119">
        <v>184.59952941588719</v>
      </c>
    </row>
    <row r="1363" spans="1:9" x14ac:dyDescent="0.3">
      <c r="A1363" s="23">
        <v>1345</v>
      </c>
      <c r="B1363" s="52">
        <v>5.8768230038041824E-2</v>
      </c>
      <c r="C1363" s="52">
        <v>0.28651035388529605</v>
      </c>
      <c r="D1363" s="52">
        <v>0.67132011431085259</v>
      </c>
      <c r="E1363" s="52">
        <v>0.2195094508807745</v>
      </c>
      <c r="F1363" s="52">
        <v>9.4445583252060872E-2</v>
      </c>
      <c r="G1363" s="52">
        <v>4.1975915848044568E-2</v>
      </c>
      <c r="H1363" s="52">
        <v>0.10719606783423036</v>
      </c>
      <c r="I1363" s="119">
        <v>231.01098136298674</v>
      </c>
    </row>
    <row r="1364" spans="1:9" x14ac:dyDescent="0.3">
      <c r="A1364" s="23">
        <v>1346</v>
      </c>
      <c r="B1364" s="52">
        <v>5.3056249677349128E-2</v>
      </c>
      <c r="C1364" s="52">
        <v>0.27486787033333199</v>
      </c>
      <c r="D1364" s="52">
        <v>0.54092888244358239</v>
      </c>
      <c r="E1364" s="52">
        <v>0.1930986337595339</v>
      </c>
      <c r="F1364" s="52">
        <v>9.8517081429299644E-2</v>
      </c>
      <c r="G1364" s="52">
        <v>5.1355669784740432E-2</v>
      </c>
      <c r="H1364" s="52">
        <v>0.11917346303620464</v>
      </c>
      <c r="I1364" s="119">
        <v>219.3918976876335</v>
      </c>
    </row>
    <row r="1365" spans="1:9" x14ac:dyDescent="0.3">
      <c r="A1365" s="23">
        <v>1347</v>
      </c>
      <c r="B1365" s="52">
        <v>6.5201465982943671E-2</v>
      </c>
      <c r="C1365" s="52">
        <v>0.28176588100249728</v>
      </c>
      <c r="D1365" s="52">
        <v>0.63297888514561174</v>
      </c>
      <c r="E1365" s="52">
        <v>0.22692419934556093</v>
      </c>
      <c r="F1365" s="52">
        <v>9.7441594353456285E-2</v>
      </c>
      <c r="G1365" s="52">
        <v>6.8874334036010454E-2</v>
      </c>
      <c r="H1365" s="52">
        <v>9.2086707718908936E-2</v>
      </c>
      <c r="I1365" s="119">
        <v>552.38564561241549</v>
      </c>
    </row>
    <row r="1366" spans="1:9" x14ac:dyDescent="0.3">
      <c r="A1366" s="23">
        <v>1348</v>
      </c>
      <c r="B1366" s="52">
        <v>5.0654766574496607E-2</v>
      </c>
      <c r="C1366" s="52">
        <v>0.26535746241967195</v>
      </c>
      <c r="D1366" s="52">
        <v>0.45313322806074668</v>
      </c>
      <c r="E1366" s="52">
        <v>0.17322498975336201</v>
      </c>
      <c r="F1366" s="52">
        <v>9.3384718532535299E-2</v>
      </c>
      <c r="G1366" s="52">
        <v>3.7657290420964121E-2</v>
      </c>
      <c r="H1366" s="52">
        <v>9.7455962829870318E-2</v>
      </c>
      <c r="I1366" s="119">
        <v>134.318412281436</v>
      </c>
    </row>
    <row r="1367" spans="1:9" x14ac:dyDescent="0.3">
      <c r="A1367" s="23">
        <v>1349</v>
      </c>
      <c r="B1367" s="52">
        <v>7.0808127324324649E-2</v>
      </c>
      <c r="C1367" s="52">
        <v>0.301222288348997</v>
      </c>
      <c r="D1367" s="52">
        <v>0.49318502450448559</v>
      </c>
      <c r="E1367" s="52">
        <v>0.16949277879046679</v>
      </c>
      <c r="F1367" s="52">
        <v>0.10432344041681364</v>
      </c>
      <c r="G1367" s="52">
        <v>4.4861545545873224E-2</v>
      </c>
      <c r="H1367" s="52">
        <v>0.10391737394258722</v>
      </c>
      <c r="I1367" s="119">
        <v>230.69669513026963</v>
      </c>
    </row>
    <row r="1368" spans="1:9" x14ac:dyDescent="0.3">
      <c r="A1368" s="23">
        <v>1350</v>
      </c>
      <c r="B1368" s="52">
        <v>5.3403657852686422E-2</v>
      </c>
      <c r="C1368" s="52">
        <v>0.29804737251391261</v>
      </c>
      <c r="D1368" s="52">
        <v>0.53379649833375153</v>
      </c>
      <c r="E1368" s="52">
        <v>0.18116000120738013</v>
      </c>
      <c r="F1368" s="52">
        <v>9.8253787040060353E-2</v>
      </c>
      <c r="G1368" s="52">
        <v>5.2028513334927813E-2</v>
      </c>
      <c r="H1368" s="52">
        <v>0.11099637804329623</v>
      </c>
      <c r="I1368" s="119">
        <v>306.82509436030631</v>
      </c>
    </row>
    <row r="1369" spans="1:9" x14ac:dyDescent="0.3">
      <c r="A1369" s="23">
        <v>1351</v>
      </c>
      <c r="B1369" s="52">
        <v>7.6344265769447611E-2</v>
      </c>
      <c r="C1369" s="52">
        <v>0.31531638705370496</v>
      </c>
      <c r="D1369" s="52">
        <v>0.55467684989060306</v>
      </c>
      <c r="E1369" s="52">
        <v>0.18372613273278332</v>
      </c>
      <c r="F1369" s="52">
        <v>9.230431279761904E-2</v>
      </c>
      <c r="G1369" s="52">
        <v>4.0387822493977682E-2</v>
      </c>
      <c r="H1369" s="52">
        <v>0.10893510564187332</v>
      </c>
      <c r="I1369" s="119">
        <v>370.71272560542519</v>
      </c>
    </row>
    <row r="1370" spans="1:9" x14ac:dyDescent="0.3">
      <c r="A1370" s="23">
        <v>1352</v>
      </c>
      <c r="B1370" s="52">
        <v>5.5993006523827382E-2</v>
      </c>
      <c r="C1370" s="52">
        <v>0.28661827965099684</v>
      </c>
      <c r="D1370" s="52">
        <v>0.47551590923265946</v>
      </c>
      <c r="E1370" s="52">
        <v>0.20804960391950297</v>
      </c>
      <c r="F1370" s="52">
        <v>0.1011793729387149</v>
      </c>
      <c r="G1370" s="52">
        <v>4.2628788368770598E-2</v>
      </c>
      <c r="H1370" s="52">
        <v>0.11334279538120967</v>
      </c>
      <c r="I1370" s="119">
        <v>175.38562793038639</v>
      </c>
    </row>
    <row r="1371" spans="1:9" x14ac:dyDescent="0.3">
      <c r="A1371" s="23">
        <v>1353</v>
      </c>
      <c r="B1371" s="52">
        <v>6.4901174493737404E-2</v>
      </c>
      <c r="C1371" s="52">
        <v>0.27760239941571613</v>
      </c>
      <c r="D1371" s="52">
        <v>0.55479184731418452</v>
      </c>
      <c r="E1371" s="52">
        <v>0.19155036707456308</v>
      </c>
      <c r="F1371" s="52">
        <v>0.10468918354153448</v>
      </c>
      <c r="G1371" s="52">
        <v>4.2124710844739705E-2</v>
      </c>
      <c r="H1371" s="52">
        <v>0.11018610188271646</v>
      </c>
      <c r="I1371" s="119">
        <v>136.88269909367187</v>
      </c>
    </row>
    <row r="1372" spans="1:9" x14ac:dyDescent="0.3">
      <c r="A1372" s="23">
        <v>1354</v>
      </c>
      <c r="B1372" s="52">
        <v>7.0163064588211602E-2</v>
      </c>
      <c r="C1372" s="52">
        <v>0.25428076158952617</v>
      </c>
      <c r="D1372" s="52">
        <v>0.65543605705869512</v>
      </c>
      <c r="E1372" s="52">
        <v>0.16995457926358659</v>
      </c>
      <c r="F1372" s="52">
        <v>8.5111059594224991E-2</v>
      </c>
      <c r="G1372" s="52">
        <v>5.0742247486030692E-2</v>
      </c>
      <c r="H1372" s="52">
        <v>0.11249820319730718</v>
      </c>
      <c r="I1372" s="119">
        <v>338.26440783805629</v>
      </c>
    </row>
    <row r="1373" spans="1:9" x14ac:dyDescent="0.3">
      <c r="A1373" s="23">
        <v>1355</v>
      </c>
      <c r="B1373" s="52">
        <v>8.4387106516710622E-2</v>
      </c>
      <c r="C1373" s="52">
        <v>0.28739014341132624</v>
      </c>
      <c r="D1373" s="52">
        <v>0.49072566845406523</v>
      </c>
      <c r="E1373" s="52">
        <v>0.17678499509709072</v>
      </c>
      <c r="F1373" s="52">
        <v>9.1760079325971133E-2</v>
      </c>
      <c r="G1373" s="52">
        <v>6.1295417306214142E-2</v>
      </c>
      <c r="H1373" s="52">
        <v>8.9651441913837532E-2</v>
      </c>
      <c r="I1373" s="119">
        <v>612.01509316717181</v>
      </c>
    </row>
    <row r="1374" spans="1:9" x14ac:dyDescent="0.3">
      <c r="A1374" s="23">
        <v>1356</v>
      </c>
      <c r="B1374" s="52">
        <v>5.7880373310694767E-2</v>
      </c>
      <c r="C1374" s="52">
        <v>0.29616100103102061</v>
      </c>
      <c r="D1374" s="52">
        <v>0.60027530624607983</v>
      </c>
      <c r="E1374" s="52">
        <v>0.17695117766795712</v>
      </c>
      <c r="F1374" s="52">
        <v>9.8572695214960759E-2</v>
      </c>
      <c r="G1374" s="52">
        <v>5.7122513121516033E-2</v>
      </c>
      <c r="H1374" s="52">
        <v>0.10432025998665921</v>
      </c>
      <c r="I1374" s="119">
        <v>363.85624482233203</v>
      </c>
    </row>
    <row r="1375" spans="1:9" x14ac:dyDescent="0.3">
      <c r="A1375" s="23">
        <v>1357</v>
      </c>
      <c r="B1375" s="52">
        <v>5.7884950175677886E-2</v>
      </c>
      <c r="C1375" s="52">
        <v>0.28999246521419625</v>
      </c>
      <c r="D1375" s="52">
        <v>0.47836577756106469</v>
      </c>
      <c r="E1375" s="52">
        <v>0.19775935599342559</v>
      </c>
      <c r="F1375" s="52">
        <v>7.9548043643512659E-2</v>
      </c>
      <c r="G1375" s="52">
        <v>4.782055080477958E-2</v>
      </c>
      <c r="H1375" s="52">
        <v>0.10490237185038406</v>
      </c>
      <c r="I1375" s="119">
        <v>548.71102029979909</v>
      </c>
    </row>
    <row r="1376" spans="1:9" x14ac:dyDescent="0.3">
      <c r="A1376" s="23">
        <v>1358</v>
      </c>
      <c r="B1376" s="52">
        <v>8.4749983360706452E-2</v>
      </c>
      <c r="C1376" s="52">
        <v>0.28050306932207691</v>
      </c>
      <c r="D1376" s="52">
        <v>0.4735351723371452</v>
      </c>
      <c r="E1376" s="52">
        <v>0.19736819966554295</v>
      </c>
      <c r="F1376" s="52">
        <v>9.5449092011718847E-2</v>
      </c>
      <c r="G1376" s="52">
        <v>4.5755887946568555E-2</v>
      </c>
      <c r="H1376" s="52">
        <v>0.11837349544226144</v>
      </c>
      <c r="I1376" s="119">
        <v>279.42451603846905</v>
      </c>
    </row>
    <row r="1377" spans="1:9" x14ac:dyDescent="0.3">
      <c r="A1377" s="23">
        <v>1359</v>
      </c>
      <c r="B1377" s="52">
        <v>8.1016599393266719E-2</v>
      </c>
      <c r="C1377" s="52">
        <v>0.28432895744898645</v>
      </c>
      <c r="D1377" s="52">
        <v>0.63565067650739737</v>
      </c>
      <c r="E1377" s="52">
        <v>0.17246326147667349</v>
      </c>
      <c r="F1377" s="52">
        <v>9.2109393807125406E-2</v>
      </c>
      <c r="G1377" s="52">
        <v>6.0332121076237116E-2</v>
      </c>
      <c r="H1377" s="52">
        <v>9.7193078195431479E-2</v>
      </c>
      <c r="I1377" s="119">
        <v>551.99003429912705</v>
      </c>
    </row>
    <row r="1378" spans="1:9" x14ac:dyDescent="0.3">
      <c r="A1378" s="23">
        <v>1360</v>
      </c>
      <c r="B1378" s="52">
        <v>6.6123485166226306E-2</v>
      </c>
      <c r="C1378" s="52">
        <v>0.28404552862848331</v>
      </c>
      <c r="D1378" s="52">
        <v>0.55510452169674429</v>
      </c>
      <c r="E1378" s="52">
        <v>0.17720227737407415</v>
      </c>
      <c r="F1378" s="52">
        <v>9.8745612087162454E-2</v>
      </c>
      <c r="G1378" s="52">
        <v>5.0134036619936817E-2</v>
      </c>
      <c r="H1378" s="52">
        <v>0.11566227112586958</v>
      </c>
      <c r="I1378" s="119">
        <v>260.71591580682053</v>
      </c>
    </row>
    <row r="1379" spans="1:9" x14ac:dyDescent="0.3">
      <c r="A1379" s="23">
        <v>1361</v>
      </c>
      <c r="B1379" s="52">
        <v>5.5340752606358012E-2</v>
      </c>
      <c r="C1379" s="52">
        <v>0.28484864278834954</v>
      </c>
      <c r="D1379" s="52">
        <v>0.55664038861730458</v>
      </c>
      <c r="E1379" s="52">
        <v>0.19197003512577507</v>
      </c>
      <c r="F1379" s="52">
        <v>9.333013152357629E-2</v>
      </c>
      <c r="G1379" s="52">
        <v>6.0460090929935609E-2</v>
      </c>
      <c r="H1379" s="52">
        <v>0.10605312282344405</v>
      </c>
      <c r="I1379" s="119">
        <v>456.00400082287058</v>
      </c>
    </row>
    <row r="1380" spans="1:9" x14ac:dyDescent="0.3">
      <c r="A1380" s="23">
        <v>1362</v>
      </c>
      <c r="B1380" s="52">
        <v>6.1634443360207083E-2</v>
      </c>
      <c r="C1380" s="52">
        <v>0.28778088667894802</v>
      </c>
      <c r="D1380" s="52">
        <v>0.56725120389725425</v>
      </c>
      <c r="E1380" s="52">
        <v>0.19626502254189246</v>
      </c>
      <c r="F1380" s="52">
        <v>9.2123477333176745E-2</v>
      </c>
      <c r="G1380" s="52">
        <v>3.6631712624214822E-2</v>
      </c>
      <c r="H1380" s="52">
        <v>0.10906788942142279</v>
      </c>
      <c r="I1380" s="119">
        <v>221.58974565447812</v>
      </c>
    </row>
    <row r="1381" spans="1:9" x14ac:dyDescent="0.3">
      <c r="A1381" s="23">
        <v>1363</v>
      </c>
      <c r="B1381" s="52">
        <v>7.1311942645311113E-2</v>
      </c>
      <c r="C1381" s="52">
        <v>0.2645735728292401</v>
      </c>
      <c r="D1381" s="52">
        <v>0.45139662914713047</v>
      </c>
      <c r="E1381" s="52">
        <v>0.22781513742601511</v>
      </c>
      <c r="F1381" s="52">
        <v>0.10358183947189677</v>
      </c>
      <c r="G1381" s="52">
        <v>3.284807117461605E-2</v>
      </c>
      <c r="H1381" s="52">
        <v>9.6747062291854383E-2</v>
      </c>
      <c r="I1381" s="119">
        <v>76.982874856302615</v>
      </c>
    </row>
    <row r="1382" spans="1:9" x14ac:dyDescent="0.3">
      <c r="A1382" s="23">
        <v>1364</v>
      </c>
      <c r="B1382" s="52">
        <v>6.292320712136254E-2</v>
      </c>
      <c r="C1382" s="52">
        <v>0.30392683943277504</v>
      </c>
      <c r="D1382" s="52">
        <v>0.6131323778491683</v>
      </c>
      <c r="E1382" s="52">
        <v>0.19826939570627444</v>
      </c>
      <c r="F1382" s="52">
        <v>8.8730382379165335E-2</v>
      </c>
      <c r="G1382" s="52">
        <v>4.9968074832334258E-2</v>
      </c>
      <c r="H1382" s="52">
        <v>0.10575618551314676</v>
      </c>
      <c r="I1382" s="119">
        <v>469.17137019744376</v>
      </c>
    </row>
    <row r="1383" spans="1:9" x14ac:dyDescent="0.3">
      <c r="A1383" s="23">
        <v>1365</v>
      </c>
      <c r="B1383" s="52">
        <v>5.7661099177425998E-2</v>
      </c>
      <c r="C1383" s="52">
        <v>0.26789587255737307</v>
      </c>
      <c r="D1383" s="52">
        <v>0.47393245369972264</v>
      </c>
      <c r="E1383" s="52">
        <v>0.18629479891556627</v>
      </c>
      <c r="F1383" s="52">
        <v>9.2546911907563589E-2</v>
      </c>
      <c r="G1383" s="52">
        <v>4.9483877513562133E-2</v>
      </c>
      <c r="H1383" s="52">
        <v>0.10228490144025461</v>
      </c>
      <c r="I1383" s="119">
        <v>250.64713095087163</v>
      </c>
    </row>
    <row r="1384" spans="1:9" x14ac:dyDescent="0.3">
      <c r="A1384" s="23">
        <v>1366</v>
      </c>
      <c r="B1384" s="52">
        <v>7.116474395734354E-2</v>
      </c>
      <c r="C1384" s="52">
        <v>0.2456026018589795</v>
      </c>
      <c r="D1384" s="52">
        <v>0.6313337777615271</v>
      </c>
      <c r="E1384" s="52">
        <v>0.16959166137655202</v>
      </c>
      <c r="F1384" s="52">
        <v>0.10191526044790854</v>
      </c>
      <c r="G1384" s="52">
        <v>4.8188555195822422E-2</v>
      </c>
      <c r="H1384" s="52">
        <v>0.11084142665335986</v>
      </c>
      <c r="I1384" s="119">
        <v>100.85969035398146</v>
      </c>
    </row>
    <row r="1385" spans="1:9" x14ac:dyDescent="0.3">
      <c r="A1385" s="23">
        <v>1367</v>
      </c>
      <c r="B1385" s="52">
        <v>6.866420602445085E-2</v>
      </c>
      <c r="C1385" s="52">
        <v>0.28132778597796598</v>
      </c>
      <c r="D1385" s="52">
        <v>0.55799743983470251</v>
      </c>
      <c r="E1385" s="52">
        <v>0.16701502664239412</v>
      </c>
      <c r="F1385" s="52">
        <v>0.10383506599379871</v>
      </c>
      <c r="G1385" s="52">
        <v>5.3563602111030673E-2</v>
      </c>
      <c r="H1385" s="52">
        <v>0.12373699272405193</v>
      </c>
      <c r="I1385" s="119">
        <v>233.41784472992165</v>
      </c>
    </row>
    <row r="1386" spans="1:9" x14ac:dyDescent="0.3">
      <c r="A1386" s="23">
        <v>1368</v>
      </c>
      <c r="B1386" s="52">
        <v>6.899074762239106E-2</v>
      </c>
      <c r="C1386" s="52">
        <v>0.26153145091780139</v>
      </c>
      <c r="D1386" s="52">
        <v>0.70522802118628913</v>
      </c>
      <c r="E1386" s="52">
        <v>0.19551430608208614</v>
      </c>
      <c r="F1386" s="52">
        <v>8.0051978802343188E-2</v>
      </c>
      <c r="G1386" s="52">
        <v>3.6694277596982378E-2</v>
      </c>
      <c r="H1386" s="52">
        <v>0.10996057138530493</v>
      </c>
      <c r="I1386" s="119">
        <v>265.86240445948164</v>
      </c>
    </row>
    <row r="1387" spans="1:9" x14ac:dyDescent="0.3">
      <c r="A1387" s="23">
        <v>1369</v>
      </c>
      <c r="B1387" s="52">
        <v>7.3853514423245295E-2</v>
      </c>
      <c r="C1387" s="52">
        <v>0.30425470238559948</v>
      </c>
      <c r="D1387" s="52">
        <v>0.69854820246313065</v>
      </c>
      <c r="E1387" s="52">
        <v>0.18531977485525114</v>
      </c>
      <c r="F1387" s="52">
        <v>8.8539798203098111E-2</v>
      </c>
      <c r="G1387" s="52">
        <v>2.9586104954685492E-2</v>
      </c>
      <c r="H1387" s="52">
        <v>0.10117599554888866</v>
      </c>
      <c r="I1387" s="119">
        <v>276.05839330152992</v>
      </c>
    </row>
    <row r="1388" spans="1:9" x14ac:dyDescent="0.3">
      <c r="A1388" s="23">
        <v>1370</v>
      </c>
      <c r="B1388" s="52">
        <v>5.842856396877083E-2</v>
      </c>
      <c r="C1388" s="52">
        <v>0.27930163316275197</v>
      </c>
      <c r="D1388" s="52">
        <v>0.45045177905428502</v>
      </c>
      <c r="E1388" s="52">
        <v>0.17223677559598771</v>
      </c>
      <c r="F1388" s="52">
        <v>9.3709610666475929E-2</v>
      </c>
      <c r="G1388" s="52">
        <v>5.7391431934482789E-2</v>
      </c>
      <c r="H1388" s="52">
        <v>0.11272745342835999</v>
      </c>
      <c r="I1388" s="119">
        <v>379.17047287965556</v>
      </c>
    </row>
    <row r="1389" spans="1:9" x14ac:dyDescent="0.3">
      <c r="A1389" s="23">
        <v>1371</v>
      </c>
      <c r="B1389" s="52">
        <v>5.9460153949810107E-2</v>
      </c>
      <c r="C1389" s="52">
        <v>0.28876418987013069</v>
      </c>
      <c r="D1389" s="52">
        <v>0.68683274463514687</v>
      </c>
      <c r="E1389" s="52">
        <v>0.1852513870148893</v>
      </c>
      <c r="F1389" s="52">
        <v>0.10427225351644573</v>
      </c>
      <c r="G1389" s="52">
        <v>6.8792310743718652E-2</v>
      </c>
      <c r="H1389" s="52">
        <v>7.9901148479726347E-2</v>
      </c>
      <c r="I1389" s="119">
        <v>411.79618836750245</v>
      </c>
    </row>
    <row r="1390" spans="1:9" x14ac:dyDescent="0.3">
      <c r="A1390" s="23">
        <v>1372</v>
      </c>
      <c r="B1390" s="52">
        <v>6.3972254661457451E-2</v>
      </c>
      <c r="C1390" s="52">
        <v>0.29094072813573696</v>
      </c>
      <c r="D1390" s="52">
        <v>0.48840441882507529</v>
      </c>
      <c r="E1390" s="52">
        <v>0.19731502366642267</v>
      </c>
      <c r="F1390" s="52">
        <v>9.9059934161373903E-2</v>
      </c>
      <c r="G1390" s="52">
        <v>6.4835880981409855E-2</v>
      </c>
      <c r="H1390" s="52">
        <v>0.10377325965480702</v>
      </c>
      <c r="I1390" s="119">
        <v>467.59311413277982</v>
      </c>
    </row>
    <row r="1391" spans="1:9" x14ac:dyDescent="0.3">
      <c r="A1391" s="23">
        <v>1373</v>
      </c>
      <c r="B1391" s="52">
        <v>6.6842304158625354E-2</v>
      </c>
      <c r="C1391" s="52">
        <v>0.2975612448466502</v>
      </c>
      <c r="D1391" s="52">
        <v>0.54188665137631653</v>
      </c>
      <c r="E1391" s="52">
        <v>0.20649251380416683</v>
      </c>
      <c r="F1391" s="52">
        <v>0.10028047100037274</v>
      </c>
      <c r="G1391" s="52">
        <v>6.9677063220765778E-2</v>
      </c>
      <c r="H1391" s="52">
        <v>0.10803223588040133</v>
      </c>
      <c r="I1391" s="119">
        <v>581.79027116965506</v>
      </c>
    </row>
    <row r="1392" spans="1:9" x14ac:dyDescent="0.3">
      <c r="A1392" s="23">
        <v>1374</v>
      </c>
      <c r="B1392" s="52">
        <v>7.4635871861595315E-2</v>
      </c>
      <c r="C1392" s="52">
        <v>0.28063306610408734</v>
      </c>
      <c r="D1392" s="52">
        <v>0.56246692226255024</v>
      </c>
      <c r="E1392" s="52">
        <v>0.20454647726577624</v>
      </c>
      <c r="F1392" s="52">
        <v>9.4542323708950646E-2</v>
      </c>
      <c r="G1392" s="52">
        <v>6.8232067291200058E-2</v>
      </c>
      <c r="H1392" s="52">
        <v>0.11818163733327887</v>
      </c>
      <c r="I1392" s="119">
        <v>648.19078834238132</v>
      </c>
    </row>
    <row r="1393" spans="1:9" x14ac:dyDescent="0.3">
      <c r="A1393" s="23">
        <v>1375</v>
      </c>
      <c r="B1393" s="52">
        <v>6.76324239081251E-2</v>
      </c>
      <c r="C1393" s="52">
        <v>0.29265492709285545</v>
      </c>
      <c r="D1393" s="52">
        <v>0.67130488820050704</v>
      </c>
      <c r="E1393" s="52">
        <v>0.1878551912171802</v>
      </c>
      <c r="F1393" s="52">
        <v>0.10285191221011761</v>
      </c>
      <c r="G1393" s="52">
        <v>5.4482004051521774E-2</v>
      </c>
      <c r="H1393" s="52">
        <v>8.84285323749473E-2</v>
      </c>
      <c r="I1393" s="119">
        <v>287.80977374182987</v>
      </c>
    </row>
    <row r="1394" spans="1:9" x14ac:dyDescent="0.3">
      <c r="A1394" s="23">
        <v>1376</v>
      </c>
      <c r="B1394" s="52">
        <v>6.5844022731120055E-2</v>
      </c>
      <c r="C1394" s="52">
        <v>0.29912430287590791</v>
      </c>
      <c r="D1394" s="52">
        <v>0.45328218884057164</v>
      </c>
      <c r="E1394" s="52">
        <v>0.20880445688245974</v>
      </c>
      <c r="F1394" s="52">
        <v>9.6980947746668392E-2</v>
      </c>
      <c r="G1394" s="52">
        <v>4.4235052448491061E-2</v>
      </c>
      <c r="H1394" s="52">
        <v>9.3655374363532218E-2</v>
      </c>
      <c r="I1394" s="119">
        <v>277.63643065425634</v>
      </c>
    </row>
    <row r="1395" spans="1:9" x14ac:dyDescent="0.3">
      <c r="A1395" s="23">
        <v>1377</v>
      </c>
      <c r="B1395" s="52">
        <v>6.2536259297658187E-2</v>
      </c>
      <c r="C1395" s="52">
        <v>0.31007190561834658</v>
      </c>
      <c r="D1395" s="52">
        <v>0.44761337711180471</v>
      </c>
      <c r="E1395" s="52">
        <v>0.19551087191575564</v>
      </c>
      <c r="F1395" s="52">
        <v>9.0428120033547735E-2</v>
      </c>
      <c r="G1395" s="52">
        <v>4.9512560851944908E-2</v>
      </c>
      <c r="H1395" s="52">
        <v>9.8973752168347626E-2</v>
      </c>
      <c r="I1395" s="119">
        <v>455.70090757248352</v>
      </c>
    </row>
    <row r="1396" spans="1:9" x14ac:dyDescent="0.3">
      <c r="A1396" s="23">
        <v>1378</v>
      </c>
      <c r="B1396" s="52">
        <v>5.3080283296949853E-2</v>
      </c>
      <c r="C1396" s="52">
        <v>0.24841816794502566</v>
      </c>
      <c r="D1396" s="52">
        <v>0.48380917915860372</v>
      </c>
      <c r="E1396" s="52">
        <v>0.17816968933279792</v>
      </c>
      <c r="F1396" s="52">
        <v>9.5588904786364837E-2</v>
      </c>
      <c r="G1396" s="52">
        <v>5.7246644070443622E-2</v>
      </c>
      <c r="H1396" s="52">
        <v>0.12891145369189647</v>
      </c>
      <c r="I1396" s="119">
        <v>210.87148708303752</v>
      </c>
    </row>
    <row r="1397" spans="1:9" x14ac:dyDescent="0.3">
      <c r="A1397" s="23">
        <v>1379</v>
      </c>
      <c r="B1397" s="52">
        <v>6.2026068651896367E-2</v>
      </c>
      <c r="C1397" s="52">
        <v>0.27300828753575918</v>
      </c>
      <c r="D1397" s="52">
        <v>0.44993373764659278</v>
      </c>
      <c r="E1397" s="52">
        <v>0.19113726634030376</v>
      </c>
      <c r="F1397" s="52">
        <v>9.913109348302479E-2</v>
      </c>
      <c r="G1397" s="52">
        <v>4.6902251649770202E-2</v>
      </c>
      <c r="H1397" s="52">
        <v>0.10111260282418827</v>
      </c>
      <c r="I1397" s="119">
        <v>188.19608915893761</v>
      </c>
    </row>
    <row r="1398" spans="1:9" x14ac:dyDescent="0.3">
      <c r="A1398" s="23">
        <v>1380</v>
      </c>
      <c r="B1398" s="52">
        <v>6.995218342015451E-2</v>
      </c>
      <c r="C1398" s="52">
        <v>0.29722737914547215</v>
      </c>
      <c r="D1398" s="52">
        <v>0.57502764306506482</v>
      </c>
      <c r="E1398" s="52">
        <v>0.19097082352799216</v>
      </c>
      <c r="F1398" s="52">
        <v>9.9381102395975141E-2</v>
      </c>
      <c r="G1398" s="52">
        <v>4.8129032789956915E-2</v>
      </c>
      <c r="H1398" s="52">
        <v>0.10415610874527803</v>
      </c>
      <c r="I1398" s="119">
        <v>287.93560100848481</v>
      </c>
    </row>
    <row r="1399" spans="1:9" x14ac:dyDescent="0.3">
      <c r="A1399" s="23">
        <v>1381</v>
      </c>
      <c r="B1399" s="52">
        <v>7.0036891614403934E-2</v>
      </c>
      <c r="C1399" s="52">
        <v>0.28746492366759074</v>
      </c>
      <c r="D1399" s="52">
        <v>0.71426233567853026</v>
      </c>
      <c r="E1399" s="52">
        <v>0.17751618626893229</v>
      </c>
      <c r="F1399" s="52">
        <v>9.3256766721229456E-2</v>
      </c>
      <c r="G1399" s="52">
        <v>7.1169494733995836E-2</v>
      </c>
      <c r="H1399" s="52">
        <v>0.10922471520269958</v>
      </c>
      <c r="I1399" s="119">
        <v>840.03960491831367</v>
      </c>
    </row>
    <row r="1400" spans="1:9" x14ac:dyDescent="0.3">
      <c r="A1400" s="23">
        <v>1382</v>
      </c>
      <c r="B1400" s="52">
        <v>5.4650223366072441E-2</v>
      </c>
      <c r="C1400" s="52">
        <v>0.29822784230323507</v>
      </c>
      <c r="D1400" s="52">
        <v>0.44842414839108685</v>
      </c>
      <c r="E1400" s="52">
        <v>0.17870236023879929</v>
      </c>
      <c r="F1400" s="52">
        <v>0.10242722850460534</v>
      </c>
      <c r="G1400" s="52">
        <v>4.4322057123581157E-2</v>
      </c>
      <c r="H1400" s="52">
        <v>9.7108075895640605E-2</v>
      </c>
      <c r="I1400" s="119">
        <v>206.36736917373307</v>
      </c>
    </row>
    <row r="1401" spans="1:9" x14ac:dyDescent="0.3">
      <c r="A1401" s="23">
        <v>1383</v>
      </c>
      <c r="B1401" s="52">
        <v>7.9306105185365725E-2</v>
      </c>
      <c r="C1401" s="52">
        <v>0.29135836131789161</v>
      </c>
      <c r="D1401" s="52">
        <v>0.644652970695899</v>
      </c>
      <c r="E1401" s="52">
        <v>0.1838835412218171</v>
      </c>
      <c r="F1401" s="52">
        <v>7.9813495249415806E-2</v>
      </c>
      <c r="G1401" s="52">
        <v>5.4691793569198566E-2</v>
      </c>
      <c r="H1401" s="52">
        <v>9.0324062249709541E-2</v>
      </c>
      <c r="I1401" s="119">
        <v>829.33335255928876</v>
      </c>
    </row>
    <row r="1402" spans="1:9" x14ac:dyDescent="0.3">
      <c r="A1402" s="23">
        <v>1384</v>
      </c>
      <c r="B1402" s="52">
        <v>5.7009574639992552E-2</v>
      </c>
      <c r="C1402" s="52">
        <v>0.25118544132412768</v>
      </c>
      <c r="D1402" s="52">
        <v>0.52306500941224099</v>
      </c>
      <c r="E1402" s="52">
        <v>0.18574195972031465</v>
      </c>
      <c r="F1402" s="52">
        <v>0.10339551962677665</v>
      </c>
      <c r="G1402" s="52">
        <v>4.8792623548200596E-2</v>
      </c>
      <c r="H1402" s="52">
        <v>0.10573318827413886</v>
      </c>
      <c r="I1402" s="119">
        <v>94.670956986402601</v>
      </c>
    </row>
    <row r="1403" spans="1:9" x14ac:dyDescent="0.3">
      <c r="A1403" s="23">
        <v>1385</v>
      </c>
      <c r="B1403" s="52">
        <v>6.1179549195444119E-2</v>
      </c>
      <c r="C1403" s="52">
        <v>0.29251406761042736</v>
      </c>
      <c r="D1403" s="52">
        <v>0.49114791236603844</v>
      </c>
      <c r="E1403" s="52">
        <v>0.1779959243900873</v>
      </c>
      <c r="F1403" s="52">
        <v>9.5641663785277942E-2</v>
      </c>
      <c r="G1403" s="52">
        <v>5.8346648942569482E-2</v>
      </c>
      <c r="H1403" s="52">
        <v>0.10443016967026669</v>
      </c>
      <c r="I1403" s="119">
        <v>422.87058624288687</v>
      </c>
    </row>
    <row r="1404" spans="1:9" x14ac:dyDescent="0.3">
      <c r="A1404" s="23">
        <v>1386</v>
      </c>
      <c r="B1404" s="52">
        <v>6.9872176340074185E-2</v>
      </c>
      <c r="C1404" s="52">
        <v>0.29956891000775476</v>
      </c>
      <c r="D1404" s="52">
        <v>0.63925551597158403</v>
      </c>
      <c r="E1404" s="52">
        <v>0.20165940662585616</v>
      </c>
      <c r="F1404" s="52">
        <v>9.156735459177115E-2</v>
      </c>
      <c r="G1404" s="52">
        <v>5.3728101912850934E-2</v>
      </c>
      <c r="H1404" s="52">
        <v>8.3445053554168952E-2</v>
      </c>
      <c r="I1404" s="119">
        <v>477.44462592315114</v>
      </c>
    </row>
    <row r="1405" spans="1:9" x14ac:dyDescent="0.3">
      <c r="A1405" s="23">
        <v>1387</v>
      </c>
      <c r="B1405" s="52">
        <v>5.5142088017195286E-2</v>
      </c>
      <c r="C1405" s="52">
        <v>0.2752888394536791</v>
      </c>
      <c r="D1405" s="52">
        <v>0.52303592050172165</v>
      </c>
      <c r="E1405" s="52">
        <v>0.18281475158745339</v>
      </c>
      <c r="F1405" s="52">
        <v>9.4326762194752625E-2</v>
      </c>
      <c r="G1405" s="52">
        <v>7.1966378672330092E-2</v>
      </c>
      <c r="H1405" s="52">
        <v>0.11669498384984126</v>
      </c>
      <c r="I1405" s="119">
        <v>683.85635860984598</v>
      </c>
    </row>
    <row r="1406" spans="1:9" x14ac:dyDescent="0.3">
      <c r="A1406" s="23">
        <v>1388</v>
      </c>
      <c r="B1406" s="52">
        <v>5.8875462520818975E-2</v>
      </c>
      <c r="C1406" s="52">
        <v>0.25103859329243206</v>
      </c>
      <c r="D1406" s="52">
        <v>0.52707651705390124</v>
      </c>
      <c r="E1406" s="52">
        <v>0.19126400726598347</v>
      </c>
      <c r="F1406" s="52">
        <v>0.10436140070265751</v>
      </c>
      <c r="G1406" s="52">
        <v>5.3805896016830772E-2</v>
      </c>
      <c r="H1406" s="52">
        <v>0.11481514119809869</v>
      </c>
      <c r="I1406" s="119">
        <v>118.23488702695364</v>
      </c>
    </row>
    <row r="1407" spans="1:9" x14ac:dyDescent="0.3">
      <c r="A1407" s="23">
        <v>1389</v>
      </c>
      <c r="B1407" s="52">
        <v>5.3151149061304873E-2</v>
      </c>
      <c r="C1407" s="52">
        <v>0.26725847715431733</v>
      </c>
      <c r="D1407" s="52">
        <v>0.51648628138103247</v>
      </c>
      <c r="E1407" s="52">
        <v>0.18133770967533508</v>
      </c>
      <c r="F1407" s="52">
        <v>9.8665129050704473E-2</v>
      </c>
      <c r="G1407" s="52">
        <v>4.4533606355359828E-2</v>
      </c>
      <c r="H1407" s="52">
        <v>0.11776198123446707</v>
      </c>
      <c r="I1407" s="119">
        <v>145.66415465880215</v>
      </c>
    </row>
    <row r="1408" spans="1:9" x14ac:dyDescent="0.3">
      <c r="A1408" s="23">
        <v>1390</v>
      </c>
      <c r="B1408" s="52">
        <v>7.0709137674922096E-2</v>
      </c>
      <c r="C1408" s="52">
        <v>0.27253262651101828</v>
      </c>
      <c r="D1408" s="52">
        <v>0.69615769183597143</v>
      </c>
      <c r="E1408" s="52">
        <v>0.17933453429232535</v>
      </c>
      <c r="F1408" s="52">
        <v>8.8280912758812696E-2</v>
      </c>
      <c r="G1408" s="52">
        <v>5.2491563838009118E-2</v>
      </c>
      <c r="H1408" s="52">
        <v>0.10868588700981804</v>
      </c>
      <c r="I1408" s="119">
        <v>398.13140008381248</v>
      </c>
    </row>
    <row r="1409" spans="1:9" x14ac:dyDescent="0.3">
      <c r="A1409" s="23">
        <v>1391</v>
      </c>
      <c r="B1409" s="52">
        <v>5.469272412100696E-2</v>
      </c>
      <c r="C1409" s="52">
        <v>0.30304750469977548</v>
      </c>
      <c r="D1409" s="52">
        <v>0.49376117743739428</v>
      </c>
      <c r="E1409" s="52">
        <v>0.19377374157868085</v>
      </c>
      <c r="F1409" s="52">
        <v>9.5697501551852998E-2</v>
      </c>
      <c r="G1409" s="52">
        <v>5.2814128523697927E-2</v>
      </c>
      <c r="H1409" s="52">
        <v>0.10015518044559572</v>
      </c>
      <c r="I1409" s="119">
        <v>370.10071980522235</v>
      </c>
    </row>
    <row r="1410" spans="1:9" x14ac:dyDescent="0.3">
      <c r="A1410" s="23">
        <v>1392</v>
      </c>
      <c r="B1410" s="52">
        <v>7.1891601645063072E-2</v>
      </c>
      <c r="C1410" s="52">
        <v>0.290980931129524</v>
      </c>
      <c r="D1410" s="52">
        <v>0.67648947186867403</v>
      </c>
      <c r="E1410" s="52">
        <v>0.18699547278072232</v>
      </c>
      <c r="F1410" s="52">
        <v>9.497935832086965E-2</v>
      </c>
      <c r="G1410" s="52">
        <v>4.7471005404344332E-2</v>
      </c>
      <c r="H1410" s="52">
        <v>0.11240684764197428</v>
      </c>
      <c r="I1410" s="119">
        <v>313.8940849065944</v>
      </c>
    </row>
    <row r="1411" spans="1:9" x14ac:dyDescent="0.3">
      <c r="A1411" s="23">
        <v>1393</v>
      </c>
      <c r="B1411" s="52">
        <v>4.4671120998948613E-2</v>
      </c>
      <c r="C1411" s="52">
        <v>0.29821358974738238</v>
      </c>
      <c r="D1411" s="52">
        <v>0.44411802428411523</v>
      </c>
      <c r="E1411" s="52">
        <v>0.19548016923907588</v>
      </c>
      <c r="F1411" s="52">
        <v>8.3429544884630988E-2</v>
      </c>
      <c r="G1411" s="52">
        <v>5.5641014837790451E-2</v>
      </c>
      <c r="H1411" s="52">
        <v>8.6432290027813816E-2</v>
      </c>
      <c r="I1411" s="119">
        <v>637.26293881544757</v>
      </c>
    </row>
    <row r="1412" spans="1:9" x14ac:dyDescent="0.3">
      <c r="A1412" s="23">
        <v>1394</v>
      </c>
      <c r="B1412" s="52">
        <v>5.6914894274537005E-2</v>
      </c>
      <c r="C1412" s="52">
        <v>0.26813308237489697</v>
      </c>
      <c r="D1412" s="52">
        <v>0.45233914695854766</v>
      </c>
      <c r="E1412" s="52">
        <v>0.18178720835250561</v>
      </c>
      <c r="F1412" s="52">
        <v>0.10345065639352581</v>
      </c>
      <c r="G1412" s="52">
        <v>4.4594713296865832E-2</v>
      </c>
      <c r="H1412" s="52">
        <v>0.11223500640284099</v>
      </c>
      <c r="I1412" s="119">
        <v>120.68401769071902</v>
      </c>
    </row>
    <row r="1413" spans="1:9" x14ac:dyDescent="0.3">
      <c r="A1413" s="23">
        <v>1395</v>
      </c>
      <c r="B1413" s="52">
        <v>6.953255615650196E-2</v>
      </c>
      <c r="C1413" s="52">
        <v>0.28255124974980417</v>
      </c>
      <c r="D1413" s="52">
        <v>0.57324129332040041</v>
      </c>
      <c r="E1413" s="52">
        <v>0.18009033865197549</v>
      </c>
      <c r="F1413" s="52">
        <v>0.10358228605806019</v>
      </c>
      <c r="G1413" s="52">
        <v>4.6026953107152921E-2</v>
      </c>
      <c r="H1413" s="52">
        <v>0.10475668167492326</v>
      </c>
      <c r="I1413" s="119">
        <v>187.2740476854384</v>
      </c>
    </row>
    <row r="1414" spans="1:9" x14ac:dyDescent="0.3">
      <c r="A1414" s="23">
        <v>1396</v>
      </c>
      <c r="B1414" s="52">
        <v>6.4373415959121938E-2</v>
      </c>
      <c r="C1414" s="52">
        <v>0.29157124199093992</v>
      </c>
      <c r="D1414" s="52">
        <v>0.44566013159372353</v>
      </c>
      <c r="E1414" s="52">
        <v>0.17934652508313514</v>
      </c>
      <c r="F1414" s="52">
        <v>9.2624286399724448E-2</v>
      </c>
      <c r="G1414" s="52">
        <v>3.2922557934820712E-2</v>
      </c>
      <c r="H1414" s="52">
        <v>0.10902673000237159</v>
      </c>
      <c r="I1414" s="119">
        <v>208.79664282098918</v>
      </c>
    </row>
    <row r="1415" spans="1:9" x14ac:dyDescent="0.3">
      <c r="A1415" s="23">
        <v>1397</v>
      </c>
      <c r="B1415" s="52">
        <v>5.6258733145265173E-2</v>
      </c>
      <c r="C1415" s="52">
        <v>0.2582462029448227</v>
      </c>
      <c r="D1415" s="52">
        <v>0.67366823851992397</v>
      </c>
      <c r="E1415" s="52">
        <v>0.19693254256886275</v>
      </c>
      <c r="F1415" s="52">
        <v>0.10074086013725549</v>
      </c>
      <c r="G1415" s="52">
        <v>4.4555301641739646E-2</v>
      </c>
      <c r="H1415" s="52">
        <v>0.12149177055658771</v>
      </c>
      <c r="I1415" s="119">
        <v>109.19049845447587</v>
      </c>
    </row>
    <row r="1416" spans="1:9" x14ac:dyDescent="0.3">
      <c r="A1416" s="23">
        <v>1398</v>
      </c>
      <c r="B1416" s="52">
        <v>5.4957845329232605E-2</v>
      </c>
      <c r="C1416" s="52">
        <v>0.27790261099044722</v>
      </c>
      <c r="D1416" s="52">
        <v>0.50299945912272781</v>
      </c>
      <c r="E1416" s="52">
        <v>0.18644693389337827</v>
      </c>
      <c r="F1416" s="52">
        <v>9.5689994033352474E-2</v>
      </c>
      <c r="G1416" s="52">
        <v>3.2428946222770802E-2</v>
      </c>
      <c r="H1416" s="52">
        <v>0.11019156339395368</v>
      </c>
      <c r="I1416" s="119">
        <v>132.39560299969742</v>
      </c>
    </row>
    <row r="1417" spans="1:9" x14ac:dyDescent="0.3">
      <c r="A1417" s="23">
        <v>1399</v>
      </c>
      <c r="B1417" s="52">
        <v>6.6806682411462245E-2</v>
      </c>
      <c r="C1417" s="52">
        <v>0.27842120707970996</v>
      </c>
      <c r="D1417" s="52">
        <v>0.7732602720799796</v>
      </c>
      <c r="E1417" s="52">
        <v>0.19128257185158487</v>
      </c>
      <c r="F1417" s="52">
        <v>9.6662047448277486E-2</v>
      </c>
      <c r="G1417" s="52">
        <v>5.8739976413814371E-2</v>
      </c>
      <c r="H1417" s="52">
        <v>0.11624206334868366</v>
      </c>
      <c r="I1417" s="119">
        <v>364.71987141731046</v>
      </c>
    </row>
    <row r="1418" spans="1:9" x14ac:dyDescent="0.3">
      <c r="A1418" s="23">
        <v>1400</v>
      </c>
      <c r="B1418" s="52">
        <v>5.8611497796856954E-2</v>
      </c>
      <c r="C1418" s="52">
        <v>0.24839472696905093</v>
      </c>
      <c r="D1418" s="52">
        <v>0.54820125302056621</v>
      </c>
      <c r="E1418" s="52">
        <v>0.17711063462626331</v>
      </c>
      <c r="F1418" s="52">
        <v>9.6653021448933674E-2</v>
      </c>
      <c r="G1418" s="52">
        <v>4.3049354387954077E-2</v>
      </c>
      <c r="H1418" s="52">
        <v>0.11185170525267135</v>
      </c>
      <c r="I1418" s="119">
        <v>101.57952663319415</v>
      </c>
    </row>
    <row r="1419" spans="1:9" x14ac:dyDescent="0.3">
      <c r="A1419" s="23">
        <v>1401</v>
      </c>
      <c r="B1419" s="52">
        <v>6.1718474991093002E-2</v>
      </c>
      <c r="C1419" s="52">
        <v>0.25879726474292852</v>
      </c>
      <c r="D1419" s="52">
        <v>0.5170971940709379</v>
      </c>
      <c r="E1419" s="52">
        <v>0.19934119074978637</v>
      </c>
      <c r="F1419" s="52">
        <v>9.6282164907643922E-2</v>
      </c>
      <c r="G1419" s="52">
        <v>7.4327023096162584E-2</v>
      </c>
      <c r="H1419" s="52">
        <v>8.4441673582067098E-2</v>
      </c>
      <c r="I1419" s="119">
        <v>604.54686725023578</v>
      </c>
    </row>
    <row r="1420" spans="1:9" x14ac:dyDescent="0.3">
      <c r="A1420" s="23">
        <v>1402</v>
      </c>
      <c r="B1420" s="52">
        <v>8.473925944350541E-2</v>
      </c>
      <c r="C1420" s="52">
        <v>0.28965886685770825</v>
      </c>
      <c r="D1420" s="52">
        <v>0.59083543758921397</v>
      </c>
      <c r="E1420" s="52">
        <v>0.19336171687042233</v>
      </c>
      <c r="F1420" s="52">
        <v>0.1042801853472158</v>
      </c>
      <c r="G1420" s="52">
        <v>4.1358192296075014E-2</v>
      </c>
      <c r="H1420" s="52">
        <v>0.10773376956985867</v>
      </c>
      <c r="I1420" s="119">
        <v>198.86559709970743</v>
      </c>
    </row>
    <row r="1421" spans="1:9" x14ac:dyDescent="0.3">
      <c r="A1421" s="23">
        <v>1403</v>
      </c>
      <c r="B1421" s="52">
        <v>6.67920325494408E-2</v>
      </c>
      <c r="C1421" s="52">
        <v>0.28780407835977773</v>
      </c>
      <c r="D1421" s="52">
        <v>0.5194145117709299</v>
      </c>
      <c r="E1421" s="52">
        <v>0.17073827080312937</v>
      </c>
      <c r="F1421" s="52">
        <v>8.8333639261597527E-2</v>
      </c>
      <c r="G1421" s="52">
        <v>5.0371859882998943E-2</v>
      </c>
      <c r="H1421" s="52">
        <v>0.10114563561111957</v>
      </c>
      <c r="I1421" s="119">
        <v>423.50784445326912</v>
      </c>
    </row>
    <row r="1422" spans="1:9" x14ac:dyDescent="0.3">
      <c r="A1422" s="23">
        <v>1404</v>
      </c>
      <c r="B1422" s="52">
        <v>6.442546724370822E-2</v>
      </c>
      <c r="C1422" s="52">
        <v>0.28875991473336299</v>
      </c>
      <c r="D1422" s="52">
        <v>0.52657663069365723</v>
      </c>
      <c r="E1422" s="52">
        <v>0.1896819580307646</v>
      </c>
      <c r="F1422" s="52">
        <v>0.10234593869072908</v>
      </c>
      <c r="G1422" s="52">
        <v>4.735918336929032E-2</v>
      </c>
      <c r="H1422" s="52">
        <v>0.11133494136638275</v>
      </c>
      <c r="I1422" s="119">
        <v>216.47676231667529</v>
      </c>
    </row>
    <row r="1423" spans="1:9" x14ac:dyDescent="0.3">
      <c r="A1423" s="23">
        <v>1405</v>
      </c>
      <c r="B1423" s="52">
        <v>6.007369461837949E-2</v>
      </c>
      <c r="C1423" s="52">
        <v>0.29785235185639325</v>
      </c>
      <c r="D1423" s="52">
        <v>0.4321866195465619</v>
      </c>
      <c r="E1423" s="52">
        <v>0.18412461762887977</v>
      </c>
      <c r="F1423" s="52">
        <v>9.7868507422052692E-2</v>
      </c>
      <c r="G1423" s="52">
        <v>5.8831468670092757E-2</v>
      </c>
      <c r="H1423" s="52">
        <v>0.10938692419477235</v>
      </c>
      <c r="I1423" s="119">
        <v>410.39390156473343</v>
      </c>
    </row>
    <row r="1424" spans="1:9" x14ac:dyDescent="0.3">
      <c r="A1424" s="23">
        <v>1406</v>
      </c>
      <c r="B1424" s="52">
        <v>5.530969239619192E-2</v>
      </c>
      <c r="C1424" s="52">
        <v>0.27830189415047607</v>
      </c>
      <c r="D1424" s="52">
        <v>0.51029685420241067</v>
      </c>
      <c r="E1424" s="52">
        <v>0.17918210861945363</v>
      </c>
      <c r="F1424" s="52">
        <v>8.3986696707394212E-2</v>
      </c>
      <c r="G1424" s="52">
        <v>3.6976915827758999E-2</v>
      </c>
      <c r="H1424" s="52">
        <v>0.11173184147444032</v>
      </c>
      <c r="I1424" s="119">
        <v>261.21633756145718</v>
      </c>
    </row>
    <row r="1425" spans="1:9" x14ac:dyDescent="0.3">
      <c r="A1425" s="23">
        <v>1407</v>
      </c>
      <c r="B1425" s="52">
        <v>7.1156050394470496E-2</v>
      </c>
      <c r="C1425" s="52">
        <v>0.28934370065595433</v>
      </c>
      <c r="D1425" s="52">
        <v>0.45131299622150223</v>
      </c>
      <c r="E1425" s="52">
        <v>0.18774929404945498</v>
      </c>
      <c r="F1425" s="52">
        <v>9.697507086387866E-2</v>
      </c>
      <c r="G1425" s="52">
        <v>5.9681493349818412E-2</v>
      </c>
      <c r="H1425" s="52">
        <v>0.10760778528738348</v>
      </c>
      <c r="I1425" s="119">
        <v>431.38333477046353</v>
      </c>
    </row>
    <row r="1426" spans="1:9" x14ac:dyDescent="0.3">
      <c r="A1426" s="23">
        <v>1408</v>
      </c>
      <c r="B1426" s="52">
        <v>5.7949631995146245E-2</v>
      </c>
      <c r="C1426" s="52">
        <v>0.27212359933634456</v>
      </c>
      <c r="D1426" s="52">
        <v>0.71625931590128022</v>
      </c>
      <c r="E1426" s="52">
        <v>0.20406842611117623</v>
      </c>
      <c r="F1426" s="52">
        <v>0.10303640204486787</v>
      </c>
      <c r="G1426" s="52">
        <v>4.8848507692549413E-2</v>
      </c>
      <c r="H1426" s="52">
        <v>0.10555011838730181</v>
      </c>
      <c r="I1426" s="119">
        <v>160.63108340239049</v>
      </c>
    </row>
    <row r="1427" spans="1:9" x14ac:dyDescent="0.3">
      <c r="A1427" s="23">
        <v>1409</v>
      </c>
      <c r="B1427" s="52">
        <v>5.9925145833095633E-2</v>
      </c>
      <c r="C1427" s="52">
        <v>0.29014991876150359</v>
      </c>
      <c r="D1427" s="52">
        <v>0.53421874722165774</v>
      </c>
      <c r="E1427" s="52">
        <v>0.19773465475805219</v>
      </c>
      <c r="F1427" s="52">
        <v>0.10041376147645226</v>
      </c>
      <c r="G1427" s="52">
        <v>4.401276325135349E-2</v>
      </c>
      <c r="H1427" s="52">
        <v>0.10733031395598742</v>
      </c>
      <c r="I1427" s="119">
        <v>206.42112041461067</v>
      </c>
    </row>
    <row r="1428" spans="1:9" x14ac:dyDescent="0.3">
      <c r="A1428" s="23">
        <v>1410</v>
      </c>
      <c r="B1428" s="52">
        <v>6.3277261164655929E-2</v>
      </c>
      <c r="C1428" s="52">
        <v>0.30193816208920815</v>
      </c>
      <c r="D1428" s="52">
        <v>0.45172809400327435</v>
      </c>
      <c r="E1428" s="52">
        <v>0.18914596054132365</v>
      </c>
      <c r="F1428" s="52">
        <v>9.2225536484676907E-2</v>
      </c>
      <c r="G1428" s="52">
        <v>4.4735795593724023E-2</v>
      </c>
      <c r="H1428" s="52">
        <v>0.1208521253936108</v>
      </c>
      <c r="I1428" s="119">
        <v>340.26809952744526</v>
      </c>
    </row>
    <row r="1429" spans="1:9" x14ac:dyDescent="0.3">
      <c r="A1429" s="23">
        <v>1411</v>
      </c>
      <c r="B1429" s="52">
        <v>5.5616433104537531E-2</v>
      </c>
      <c r="C1429" s="52">
        <v>0.29912166363010301</v>
      </c>
      <c r="D1429" s="52">
        <v>0.43690474697695408</v>
      </c>
      <c r="E1429" s="52">
        <v>0.19897217364798359</v>
      </c>
      <c r="F1429" s="52">
        <v>9.8639426385981555E-2</v>
      </c>
      <c r="G1429" s="52">
        <v>5.8610684008050362E-2</v>
      </c>
      <c r="H1429" s="52">
        <v>9.5206297442172363E-2</v>
      </c>
      <c r="I1429" s="119">
        <v>388.54070953223328</v>
      </c>
    </row>
    <row r="1430" spans="1:9" x14ac:dyDescent="0.3">
      <c r="A1430" s="23">
        <v>1412</v>
      </c>
      <c r="B1430" s="52">
        <v>6.1466659421036192E-2</v>
      </c>
      <c r="C1430" s="52">
        <v>0.30387442989843544</v>
      </c>
      <c r="D1430" s="52">
        <v>0.50177148422560269</v>
      </c>
      <c r="E1430" s="52">
        <v>0.19917307927015776</v>
      </c>
      <c r="F1430" s="52">
        <v>0.1046584856855801</v>
      </c>
      <c r="G1430" s="52">
        <v>5.4867342824875029E-2</v>
      </c>
      <c r="H1430" s="52">
        <v>9.7321533081085931E-2</v>
      </c>
      <c r="I1430" s="119">
        <v>295.99204703488476</v>
      </c>
    </row>
    <row r="1431" spans="1:9" x14ac:dyDescent="0.3">
      <c r="A1431" s="23">
        <v>1413</v>
      </c>
      <c r="B1431" s="52">
        <v>5.4557415948443821E-2</v>
      </c>
      <c r="C1431" s="52">
        <v>0.29526651339854326</v>
      </c>
      <c r="D1431" s="52">
        <v>0.4363953696476337</v>
      </c>
      <c r="E1431" s="52">
        <v>0.20079175689675255</v>
      </c>
      <c r="F1431" s="52">
        <v>9.5827049071351339E-2</v>
      </c>
      <c r="G1431" s="52">
        <v>4.7685063376722771E-2</v>
      </c>
      <c r="H1431" s="52">
        <v>9.9675188051061153E-2</v>
      </c>
      <c r="I1431" s="119">
        <v>285.67219300229965</v>
      </c>
    </row>
    <row r="1432" spans="1:9" x14ac:dyDescent="0.3">
      <c r="A1432" s="23">
        <v>1414</v>
      </c>
      <c r="B1432" s="52">
        <v>5.2702114211301478E-2</v>
      </c>
      <c r="C1432" s="52">
        <v>0.30271077840090804</v>
      </c>
      <c r="D1432" s="52">
        <v>0.54363930630179169</v>
      </c>
      <c r="E1432" s="52">
        <v>0.18740666875917672</v>
      </c>
      <c r="F1432" s="52">
        <v>9.5022549249334703E-2</v>
      </c>
      <c r="G1432" s="52">
        <v>5.7874464654798799E-2</v>
      </c>
      <c r="H1432" s="52">
        <v>0.11082148606629529</v>
      </c>
      <c r="I1432" s="119">
        <v>447.18837932863295</v>
      </c>
    </row>
    <row r="1433" spans="1:9" x14ac:dyDescent="0.3">
      <c r="A1433" s="23">
        <v>1415</v>
      </c>
      <c r="B1433" s="52">
        <v>6.6208059141440498E-2</v>
      </c>
      <c r="C1433" s="52">
        <v>0.26526249776698485</v>
      </c>
      <c r="D1433" s="52">
        <v>0.52226865940362666</v>
      </c>
      <c r="E1433" s="52">
        <v>0.20721284666255735</v>
      </c>
      <c r="F1433" s="52">
        <v>0.10260032562631799</v>
      </c>
      <c r="G1433" s="52">
        <v>6.6307220358046329E-2</v>
      </c>
      <c r="H1433" s="52">
        <v>0.10601110802540675</v>
      </c>
      <c r="I1433" s="119">
        <v>317.38206401619135</v>
      </c>
    </row>
    <row r="1434" spans="1:9" x14ac:dyDescent="0.3">
      <c r="A1434" s="23">
        <v>1416</v>
      </c>
      <c r="B1434" s="52">
        <v>7.9032516278081416E-2</v>
      </c>
      <c r="C1434" s="52">
        <v>0.26022249471294084</v>
      </c>
      <c r="D1434" s="52">
        <v>0.49660583950710857</v>
      </c>
      <c r="E1434" s="52">
        <v>0.20464910262820124</v>
      </c>
      <c r="F1434" s="52">
        <v>9.3897983075715882E-2</v>
      </c>
      <c r="G1434" s="52">
        <v>4.1906807905157488E-2</v>
      </c>
      <c r="H1434" s="52">
        <v>0.11443470497464242</v>
      </c>
      <c r="I1434" s="119">
        <v>181.50762114163174</v>
      </c>
    </row>
    <row r="1435" spans="1:9" x14ac:dyDescent="0.3">
      <c r="A1435" s="23">
        <v>1417</v>
      </c>
      <c r="B1435" s="52">
        <v>5.6629771311238544E-2</v>
      </c>
      <c r="C1435" s="52">
        <v>0.28924219714308502</v>
      </c>
      <c r="D1435" s="52">
        <v>0.48773800521609284</v>
      </c>
      <c r="E1435" s="52">
        <v>0.18601512198344772</v>
      </c>
      <c r="F1435" s="52">
        <v>0.1031479904939312</v>
      </c>
      <c r="G1435" s="52">
        <v>5.8433474598398413E-2</v>
      </c>
      <c r="H1435" s="52">
        <v>0.10077658184768346</v>
      </c>
      <c r="I1435" s="119">
        <v>289.56097135056177</v>
      </c>
    </row>
    <row r="1436" spans="1:9" x14ac:dyDescent="0.3">
      <c r="A1436" s="23">
        <v>1418</v>
      </c>
      <c r="B1436" s="52">
        <v>6.9527238571374439E-2</v>
      </c>
      <c r="C1436" s="52">
        <v>0.27682504033540206</v>
      </c>
      <c r="D1436" s="52">
        <v>0.45885670951834967</v>
      </c>
      <c r="E1436" s="52">
        <v>0.18981153564045661</v>
      </c>
      <c r="F1436" s="52">
        <v>9.5478509758520291E-2</v>
      </c>
      <c r="G1436" s="52">
        <v>5.8771264378615795E-2</v>
      </c>
      <c r="H1436" s="52">
        <v>0.10739773426616583</v>
      </c>
      <c r="I1436" s="119">
        <v>384.46545885293591</v>
      </c>
    </row>
    <row r="1437" spans="1:9" x14ac:dyDescent="0.3">
      <c r="A1437" s="23">
        <v>1419</v>
      </c>
      <c r="B1437" s="52">
        <v>5.3996174642190906E-2</v>
      </c>
      <c r="C1437" s="52">
        <v>0.28640677849539953</v>
      </c>
      <c r="D1437" s="52">
        <v>0.59033857179772742</v>
      </c>
      <c r="E1437" s="52">
        <v>0.20811054386642802</v>
      </c>
      <c r="F1437" s="52">
        <v>0.10298551554407516</v>
      </c>
      <c r="G1437" s="52">
        <v>5.1085685274232046E-2</v>
      </c>
      <c r="H1437" s="52">
        <v>0.12214064451239982</v>
      </c>
      <c r="I1437" s="119">
        <v>212.93876263946845</v>
      </c>
    </row>
    <row r="1438" spans="1:9" x14ac:dyDescent="0.3">
      <c r="A1438" s="23">
        <v>1420</v>
      </c>
      <c r="B1438" s="52">
        <v>6.9756311074520364E-2</v>
      </c>
      <c r="C1438" s="52">
        <v>0.28506862411258482</v>
      </c>
      <c r="D1438" s="52">
        <v>0.53821176682146887</v>
      </c>
      <c r="E1438" s="52">
        <v>0.2049359215938707</v>
      </c>
      <c r="F1438" s="52">
        <v>9.7188661319642933E-2</v>
      </c>
      <c r="G1438" s="52">
        <v>4.7673872248906388E-2</v>
      </c>
      <c r="H1438" s="52">
        <v>9.7147507644929215E-2</v>
      </c>
      <c r="I1438" s="119">
        <v>265.78482653529107</v>
      </c>
    </row>
    <row r="1439" spans="1:9" x14ac:dyDescent="0.3">
      <c r="A1439" s="23">
        <v>1421</v>
      </c>
      <c r="B1439" s="52">
        <v>6.1615857174333488E-2</v>
      </c>
      <c r="C1439" s="52">
        <v>0.2807979620112156</v>
      </c>
      <c r="D1439" s="52">
        <v>0.56134554774048662</v>
      </c>
      <c r="E1439" s="52">
        <v>0.1888990177269966</v>
      </c>
      <c r="F1439" s="52">
        <v>9.8687754582304735E-2</v>
      </c>
      <c r="G1439" s="52">
        <v>5.7759818100494784E-2</v>
      </c>
      <c r="H1439" s="52">
        <v>0.11319375594673042</v>
      </c>
      <c r="I1439" s="119">
        <v>319.54359461758531</v>
      </c>
    </row>
    <row r="1440" spans="1:9" x14ac:dyDescent="0.3">
      <c r="A1440" s="23">
        <v>1422</v>
      </c>
      <c r="B1440" s="52">
        <v>5.4310321029830112E-2</v>
      </c>
      <c r="C1440" s="52">
        <v>0.27536878582574587</v>
      </c>
      <c r="D1440" s="52">
        <v>0.48844073471913207</v>
      </c>
      <c r="E1440" s="52">
        <v>0.17925223952385019</v>
      </c>
      <c r="F1440" s="52">
        <v>8.9523827700597483E-2</v>
      </c>
      <c r="G1440" s="52">
        <v>4.2617842069481063E-2</v>
      </c>
      <c r="H1440" s="52">
        <v>0.10583954337210222</v>
      </c>
      <c r="I1440" s="119">
        <v>240.41964683114938</v>
      </c>
    </row>
    <row r="1441" spans="1:9" x14ac:dyDescent="0.3">
      <c r="A1441" s="23">
        <v>1423</v>
      </c>
      <c r="B1441" s="52">
        <v>8.726784952922842E-2</v>
      </c>
      <c r="C1441" s="52">
        <v>0.2804960295532925</v>
      </c>
      <c r="D1441" s="52">
        <v>0.5446031675368741</v>
      </c>
      <c r="E1441" s="52">
        <v>0.19120681582467497</v>
      </c>
      <c r="F1441" s="52">
        <v>9.8145933972054497E-2</v>
      </c>
      <c r="G1441" s="52">
        <v>4.8680964351382722E-2</v>
      </c>
      <c r="H1441" s="52">
        <v>0.11306667206078999</v>
      </c>
      <c r="I1441" s="119">
        <v>281.31439996723657</v>
      </c>
    </row>
    <row r="1442" spans="1:9" x14ac:dyDescent="0.3">
      <c r="A1442" s="23">
        <v>1424</v>
      </c>
      <c r="B1442" s="52">
        <v>5.9835139635718473E-2</v>
      </c>
      <c r="C1442" s="52">
        <v>0.27180155293199021</v>
      </c>
      <c r="D1442" s="52">
        <v>0.48724135982066152</v>
      </c>
      <c r="E1442" s="52">
        <v>0.17647044447869559</v>
      </c>
      <c r="F1442" s="52">
        <v>7.8802081440471419E-2</v>
      </c>
      <c r="G1442" s="52">
        <v>3.7252234729567152E-2</v>
      </c>
      <c r="H1442" s="52">
        <v>0.10940000673287545</v>
      </c>
      <c r="I1442" s="119">
        <v>312.08276892993001</v>
      </c>
    </row>
    <row r="1443" spans="1:9" x14ac:dyDescent="0.3">
      <c r="A1443" s="23">
        <v>1425</v>
      </c>
      <c r="B1443" s="52">
        <v>6.6051324954638613E-2</v>
      </c>
      <c r="C1443" s="52">
        <v>0.27680871331696272</v>
      </c>
      <c r="D1443" s="52">
        <v>0.43999288237934231</v>
      </c>
      <c r="E1443" s="52">
        <v>0.18397040710396531</v>
      </c>
      <c r="F1443" s="52">
        <v>8.054450437218201E-2</v>
      </c>
      <c r="G1443" s="52">
        <v>3.7570508063165295E-2</v>
      </c>
      <c r="H1443" s="52">
        <v>0.11324095262301005</v>
      </c>
      <c r="I1443" s="119">
        <v>325.24685138635272</v>
      </c>
    </row>
    <row r="1444" spans="1:9" x14ac:dyDescent="0.3">
      <c r="A1444" s="23">
        <v>1426</v>
      </c>
      <c r="B1444" s="52">
        <v>6.0571426399189499E-2</v>
      </c>
      <c r="C1444" s="52">
        <v>0.29570351558987423</v>
      </c>
      <c r="D1444" s="52">
        <v>0.63137751633178296</v>
      </c>
      <c r="E1444" s="52">
        <v>0.17729821197500756</v>
      </c>
      <c r="F1444" s="52">
        <v>8.3949715289384774E-2</v>
      </c>
      <c r="G1444" s="52">
        <v>4.5503922557608635E-2</v>
      </c>
      <c r="H1444" s="52">
        <v>0.10992920820138377</v>
      </c>
      <c r="I1444" s="119">
        <v>444.76082523751256</v>
      </c>
    </row>
    <row r="1445" spans="1:9" x14ac:dyDescent="0.3">
      <c r="A1445" s="23">
        <v>1427</v>
      </c>
      <c r="B1445" s="52">
        <v>5.2637324524313724E-2</v>
      </c>
      <c r="C1445" s="52">
        <v>0.27468084672467341</v>
      </c>
      <c r="D1445" s="52">
        <v>0.55382662851883724</v>
      </c>
      <c r="E1445" s="52">
        <v>0.1939644490304672</v>
      </c>
      <c r="F1445" s="52">
        <v>0.10158337736086664</v>
      </c>
      <c r="G1445" s="52">
        <v>5.2170531478268195E-2</v>
      </c>
      <c r="H1445" s="52">
        <v>0.12642110991332281</v>
      </c>
      <c r="I1445" s="119">
        <v>195.29981866580968</v>
      </c>
    </row>
    <row r="1446" spans="1:9" x14ac:dyDescent="0.3">
      <c r="A1446" s="23">
        <v>1428</v>
      </c>
      <c r="B1446" s="52">
        <v>5.5989310102163056E-2</v>
      </c>
      <c r="C1446" s="52">
        <v>0.28581920597529931</v>
      </c>
      <c r="D1446" s="52">
        <v>0.44612408532747866</v>
      </c>
      <c r="E1446" s="52">
        <v>0.19645207890133204</v>
      </c>
      <c r="F1446" s="52">
        <v>0.10083776284146376</v>
      </c>
      <c r="G1446" s="52">
        <v>5.1268500937622349E-2</v>
      </c>
      <c r="H1446" s="52">
        <v>0.1173937439712905</v>
      </c>
      <c r="I1446" s="119">
        <v>236.29733996690655</v>
      </c>
    </row>
    <row r="1447" spans="1:9" x14ac:dyDescent="0.3">
      <c r="A1447" s="23">
        <v>1429</v>
      </c>
      <c r="B1447" s="52">
        <v>6.1375698612625859E-2</v>
      </c>
      <c r="C1447" s="52">
        <v>0.29956652846059889</v>
      </c>
      <c r="D1447" s="52">
        <v>0.47164141418515182</v>
      </c>
      <c r="E1447" s="52">
        <v>0.20894958177351899</v>
      </c>
      <c r="F1447" s="52">
        <v>0.10254102371432709</v>
      </c>
      <c r="G1447" s="52">
        <v>5.7723540635451785E-2</v>
      </c>
      <c r="H1447" s="52">
        <v>0.10684716665241001</v>
      </c>
      <c r="I1447" s="119">
        <v>335.7665264366002</v>
      </c>
    </row>
    <row r="1448" spans="1:9" x14ac:dyDescent="0.3">
      <c r="A1448" s="23">
        <v>1430</v>
      </c>
      <c r="B1448" s="52">
        <v>7.1431843878510953E-2</v>
      </c>
      <c r="C1448" s="52">
        <v>0.28776342191623405</v>
      </c>
      <c r="D1448" s="52">
        <v>0.57186023955639464</v>
      </c>
      <c r="E1448" s="52">
        <v>0.19136960705487216</v>
      </c>
      <c r="F1448" s="52">
        <v>9.5252970701641862E-2</v>
      </c>
      <c r="G1448" s="52">
        <v>4.0045217620932105E-2</v>
      </c>
      <c r="H1448" s="52">
        <v>0.10506299298403143</v>
      </c>
      <c r="I1448" s="119">
        <v>235.43384516698251</v>
      </c>
    </row>
    <row r="1449" spans="1:9" x14ac:dyDescent="0.3">
      <c r="A1449" s="23">
        <v>1431</v>
      </c>
      <c r="B1449" s="52">
        <v>6.9697489737312129E-2</v>
      </c>
      <c r="C1449" s="52">
        <v>0.27370946036764648</v>
      </c>
      <c r="D1449" s="52">
        <v>0.71756958028453333</v>
      </c>
      <c r="E1449" s="52">
        <v>0.19817098187920537</v>
      </c>
      <c r="F1449" s="52">
        <v>9.6968722429472243E-2</v>
      </c>
      <c r="G1449" s="52">
        <v>5.6857197699634814E-2</v>
      </c>
      <c r="H1449" s="52">
        <v>0.10685976963514271</v>
      </c>
      <c r="I1449" s="119">
        <v>321.5486956049769</v>
      </c>
    </row>
    <row r="1450" spans="1:9" x14ac:dyDescent="0.3">
      <c r="A1450" s="23">
        <v>1432</v>
      </c>
      <c r="B1450" s="52">
        <v>6.4578470642844818E-2</v>
      </c>
      <c r="C1450" s="52">
        <v>0.27275339634556195</v>
      </c>
      <c r="D1450" s="52">
        <v>0.49685616730606835</v>
      </c>
      <c r="E1450" s="52">
        <v>0.20816721727324103</v>
      </c>
      <c r="F1450" s="52">
        <v>9.402580645444486E-2</v>
      </c>
      <c r="G1450" s="52">
        <v>4.2248667343374145E-2</v>
      </c>
      <c r="H1450" s="52">
        <v>8.7966071835298712E-2</v>
      </c>
      <c r="I1450" s="119">
        <v>202.50618559146841</v>
      </c>
    </row>
    <row r="1451" spans="1:9" x14ac:dyDescent="0.3">
      <c r="A1451" s="23">
        <v>1433</v>
      </c>
      <c r="B1451" s="52">
        <v>4.9575432331952073E-2</v>
      </c>
      <c r="C1451" s="52">
        <v>0.29327715576875557</v>
      </c>
      <c r="D1451" s="52">
        <v>0.52667885486309873</v>
      </c>
      <c r="E1451" s="52">
        <v>0.1866369719380695</v>
      </c>
      <c r="F1451" s="52">
        <v>9.533299934816096E-2</v>
      </c>
      <c r="G1451" s="52">
        <v>6.0230458845558693E-2</v>
      </c>
      <c r="H1451" s="52">
        <v>0.10234422323836168</v>
      </c>
      <c r="I1451" s="119">
        <v>433.03512960556884</v>
      </c>
    </row>
    <row r="1452" spans="1:9" x14ac:dyDescent="0.3">
      <c r="A1452" s="23">
        <v>1434</v>
      </c>
      <c r="B1452" s="52">
        <v>6.9288281557520384E-2</v>
      </c>
      <c r="C1452" s="52">
        <v>0.29191196027531124</v>
      </c>
      <c r="D1452" s="52">
        <v>0.69149252314199994</v>
      </c>
      <c r="E1452" s="52">
        <v>0.20939390631511512</v>
      </c>
      <c r="F1452" s="52">
        <v>9.3065776922267807E-2</v>
      </c>
      <c r="G1452" s="52">
        <v>5.5715751278120687E-2</v>
      </c>
      <c r="H1452" s="52">
        <v>9.6953889073807337E-2</v>
      </c>
      <c r="I1452" s="119">
        <v>446.42142445348281</v>
      </c>
    </row>
    <row r="1453" spans="1:9" x14ac:dyDescent="0.3">
      <c r="A1453" s="23">
        <v>1435</v>
      </c>
      <c r="B1453" s="52">
        <v>6.1864730030404103E-2</v>
      </c>
      <c r="C1453" s="52">
        <v>0.29821214480709207</v>
      </c>
      <c r="D1453" s="52">
        <v>0.50055132141942393</v>
      </c>
      <c r="E1453" s="52">
        <v>0.21556390308691631</v>
      </c>
      <c r="F1453" s="52">
        <v>0.10306630524425714</v>
      </c>
      <c r="G1453" s="52">
        <v>4.5985235426390818E-2</v>
      </c>
      <c r="H1453" s="52">
        <v>0.10980443973359516</v>
      </c>
      <c r="I1453" s="119">
        <v>224.40548896499493</v>
      </c>
    </row>
    <row r="1454" spans="1:9" x14ac:dyDescent="0.3">
      <c r="A1454" s="23">
        <v>1436</v>
      </c>
      <c r="B1454" s="52">
        <v>5.3542304147200133E-2</v>
      </c>
      <c r="C1454" s="52">
        <v>0.30334905450506605</v>
      </c>
      <c r="D1454" s="52">
        <v>0.44813395251935567</v>
      </c>
      <c r="E1454" s="52">
        <v>0.18203719431719842</v>
      </c>
      <c r="F1454" s="52">
        <v>8.0839424806395763E-2</v>
      </c>
      <c r="G1454" s="52">
        <v>6.1770115079611915E-2</v>
      </c>
      <c r="H1454" s="52">
        <v>0.10121202330278008</v>
      </c>
      <c r="I1454" s="119">
        <v>1101.2639165109013</v>
      </c>
    </row>
    <row r="1455" spans="1:9" x14ac:dyDescent="0.3">
      <c r="A1455" s="23">
        <v>1437</v>
      </c>
      <c r="B1455" s="52">
        <v>6.3626762983851712E-2</v>
      </c>
      <c r="C1455" s="52">
        <v>0.30164002665325446</v>
      </c>
      <c r="D1455" s="52">
        <v>0.5953849321710516</v>
      </c>
      <c r="E1455" s="52">
        <v>0.20418231116136412</v>
      </c>
      <c r="F1455" s="52">
        <v>0.10073262316432648</v>
      </c>
      <c r="G1455" s="52">
        <v>3.9468237149977728E-2</v>
      </c>
      <c r="H1455" s="52">
        <v>0.11428302178645036</v>
      </c>
      <c r="I1455" s="119">
        <v>213.78082705362917</v>
      </c>
    </row>
    <row r="1456" spans="1:9" x14ac:dyDescent="0.3">
      <c r="A1456" s="23">
        <v>1438</v>
      </c>
      <c r="B1456" s="52">
        <v>5.8481301854177388E-2</v>
      </c>
      <c r="C1456" s="52">
        <v>0.27076327173547449</v>
      </c>
      <c r="D1456" s="52">
        <v>0.53429257202663227</v>
      </c>
      <c r="E1456" s="52">
        <v>0.20231705422961493</v>
      </c>
      <c r="F1456" s="52">
        <v>9.3206624272711591E-2</v>
      </c>
      <c r="G1456" s="52">
        <v>4.6321605863814119E-2</v>
      </c>
      <c r="H1456" s="52">
        <v>9.7691545904528054E-2</v>
      </c>
      <c r="I1456" s="119">
        <v>225.8032958605022</v>
      </c>
    </row>
    <row r="1457" spans="1:9" x14ac:dyDescent="0.3">
      <c r="A1457" s="23">
        <v>1439</v>
      </c>
      <c r="B1457" s="52">
        <v>6.8961248002498809E-2</v>
      </c>
      <c r="C1457" s="52">
        <v>0.29982868671409874</v>
      </c>
      <c r="D1457" s="52">
        <v>0.49704542452012479</v>
      </c>
      <c r="E1457" s="52">
        <v>0.20828985685972856</v>
      </c>
      <c r="F1457" s="52">
        <v>9.2962936469736218E-2</v>
      </c>
      <c r="G1457" s="52">
        <v>5.3424201898661289E-2</v>
      </c>
      <c r="H1457" s="52">
        <v>9.1325428381436868E-2</v>
      </c>
      <c r="I1457" s="119">
        <v>445.31383157042984</v>
      </c>
    </row>
    <row r="1458" spans="1:9" x14ac:dyDescent="0.3">
      <c r="A1458" s="23">
        <v>1440</v>
      </c>
      <c r="B1458" s="52">
        <v>6.5631226287651098E-2</v>
      </c>
      <c r="C1458" s="52">
        <v>0.2937226129125311</v>
      </c>
      <c r="D1458" s="52">
        <v>0.54369026179735469</v>
      </c>
      <c r="E1458" s="52">
        <v>0.20560601303509424</v>
      </c>
      <c r="F1458" s="52">
        <v>9.5153107171720624E-2</v>
      </c>
      <c r="G1458" s="52">
        <v>4.027312416359291E-2</v>
      </c>
      <c r="H1458" s="52">
        <v>0.10816554400444153</v>
      </c>
      <c r="I1458" s="119">
        <v>246.45577801619817</v>
      </c>
    </row>
    <row r="1459" spans="1:9" x14ac:dyDescent="0.3">
      <c r="A1459" s="23">
        <v>1441</v>
      </c>
      <c r="B1459" s="52">
        <v>6.3760724412534969E-2</v>
      </c>
      <c r="C1459" s="52">
        <v>0.26547241267796895</v>
      </c>
      <c r="D1459" s="52">
        <v>0.56895810773149624</v>
      </c>
      <c r="E1459" s="52">
        <v>0.16794526484302497</v>
      </c>
      <c r="F1459" s="52">
        <v>0.10156703691563897</v>
      </c>
      <c r="G1459" s="52">
        <v>5.3573792332560315E-2</v>
      </c>
      <c r="H1459" s="52">
        <v>0.10728597930701794</v>
      </c>
      <c r="I1459" s="119">
        <v>193.99195685944554</v>
      </c>
    </row>
    <row r="1460" spans="1:9" x14ac:dyDescent="0.3">
      <c r="A1460" s="23">
        <v>1442</v>
      </c>
      <c r="B1460" s="52">
        <v>4.4760826136912228E-2</v>
      </c>
      <c r="C1460" s="52">
        <v>0.27252507864302727</v>
      </c>
      <c r="D1460" s="52">
        <v>0.46635818528248912</v>
      </c>
      <c r="E1460" s="52">
        <v>0.16696338356911228</v>
      </c>
      <c r="F1460" s="52">
        <v>9.2082937927986983E-2</v>
      </c>
      <c r="G1460" s="52">
        <v>4.4173057936214163E-2</v>
      </c>
      <c r="H1460" s="52">
        <v>9.3621276710712326E-2</v>
      </c>
      <c r="I1460" s="119">
        <v>201.87461436363753</v>
      </c>
    </row>
    <row r="1461" spans="1:9" x14ac:dyDescent="0.3">
      <c r="A1461" s="23">
        <v>1443</v>
      </c>
      <c r="B1461" s="52">
        <v>6.3210488120142572E-2</v>
      </c>
      <c r="C1461" s="52">
        <v>0.27194406073355609</v>
      </c>
      <c r="D1461" s="52">
        <v>0.45560216012306654</v>
      </c>
      <c r="E1461" s="52">
        <v>0.19766232792269287</v>
      </c>
      <c r="F1461" s="52">
        <v>9.6692769396449357E-2</v>
      </c>
      <c r="G1461" s="52">
        <v>5.2780120990563402E-2</v>
      </c>
      <c r="H1461" s="52">
        <v>9.7148444599853098E-2</v>
      </c>
      <c r="I1461" s="119">
        <v>260.10773692296146</v>
      </c>
    </row>
    <row r="1462" spans="1:9" x14ac:dyDescent="0.3">
      <c r="A1462" s="23">
        <v>1444</v>
      </c>
      <c r="B1462" s="52">
        <v>5.3137670998611782E-2</v>
      </c>
      <c r="C1462" s="52">
        <v>0.26384109617937612</v>
      </c>
      <c r="D1462" s="52">
        <v>0.59339614658084272</v>
      </c>
      <c r="E1462" s="52">
        <v>0.19411197557537835</v>
      </c>
      <c r="F1462" s="52">
        <v>0.10570414032436978</v>
      </c>
      <c r="G1462" s="52">
        <v>6.7334301201793845E-2</v>
      </c>
      <c r="H1462" s="52">
        <v>9.8209233788276867E-2</v>
      </c>
      <c r="I1462" s="119">
        <v>254.2770438520088</v>
      </c>
    </row>
    <row r="1463" spans="1:9" x14ac:dyDescent="0.3">
      <c r="A1463" s="23">
        <v>1445</v>
      </c>
      <c r="B1463" s="52">
        <v>6.64537976098378E-2</v>
      </c>
      <c r="C1463" s="52">
        <v>0.29071892936469257</v>
      </c>
      <c r="D1463" s="52">
        <v>0.51981139995176162</v>
      </c>
      <c r="E1463" s="52">
        <v>0.19452287337346175</v>
      </c>
      <c r="F1463" s="52">
        <v>7.7413976610519297E-2</v>
      </c>
      <c r="G1463" s="52">
        <v>3.4246672664177358E-2</v>
      </c>
      <c r="H1463" s="52">
        <v>0.11586996988556345</v>
      </c>
      <c r="I1463" s="119">
        <v>386.9510639291762</v>
      </c>
    </row>
    <row r="1464" spans="1:9" x14ac:dyDescent="0.3">
      <c r="A1464" s="23">
        <v>1446</v>
      </c>
      <c r="B1464" s="52">
        <v>7.2112048696050132E-2</v>
      </c>
      <c r="C1464" s="52">
        <v>0.31102202114369831</v>
      </c>
      <c r="D1464" s="52">
        <v>0.52203077821403965</v>
      </c>
      <c r="E1464" s="52">
        <v>0.19257265830592168</v>
      </c>
      <c r="F1464" s="52">
        <v>8.9180922084585806E-2</v>
      </c>
      <c r="G1464" s="52">
        <v>4.6281196460221018E-2</v>
      </c>
      <c r="H1464" s="52">
        <v>9.8029419116436811E-2</v>
      </c>
      <c r="I1464" s="119">
        <v>459.31837771591353</v>
      </c>
    </row>
    <row r="1465" spans="1:9" x14ac:dyDescent="0.3">
      <c r="A1465" s="23">
        <v>1447</v>
      </c>
      <c r="B1465" s="52">
        <v>6.2166954344605771E-2</v>
      </c>
      <c r="C1465" s="52">
        <v>0.29779392147304423</v>
      </c>
      <c r="D1465" s="52">
        <v>0.50180420080653199</v>
      </c>
      <c r="E1465" s="52">
        <v>0.19603182935634003</v>
      </c>
      <c r="F1465" s="52">
        <v>9.6673334294979651E-2</v>
      </c>
      <c r="G1465" s="52">
        <v>2.9929051994761143E-2</v>
      </c>
      <c r="H1465" s="52">
        <v>0.11973685537962897</v>
      </c>
      <c r="I1465" s="119">
        <v>176.49907152446946</v>
      </c>
    </row>
    <row r="1466" spans="1:9" x14ac:dyDescent="0.3">
      <c r="A1466" s="23">
        <v>1448</v>
      </c>
      <c r="B1466" s="52">
        <v>7.0397952208784878E-2</v>
      </c>
      <c r="C1466" s="52">
        <v>0.27258620629514507</v>
      </c>
      <c r="D1466" s="52">
        <v>0.50724889316762789</v>
      </c>
      <c r="E1466" s="52">
        <v>0.20404618635115221</v>
      </c>
      <c r="F1466" s="52">
        <v>0.10406843263161346</v>
      </c>
      <c r="G1466" s="52">
        <v>5.4578239102522061E-2</v>
      </c>
      <c r="H1466" s="52">
        <v>0.11545594009874996</v>
      </c>
      <c r="I1466" s="119">
        <v>213.0940712898113</v>
      </c>
    </row>
    <row r="1467" spans="1:9" x14ac:dyDescent="0.3">
      <c r="A1467" s="23">
        <v>1449</v>
      </c>
      <c r="B1467" s="52">
        <v>5.2500825934022992E-2</v>
      </c>
      <c r="C1467" s="52">
        <v>0.30246662157114451</v>
      </c>
      <c r="D1467" s="52">
        <v>0.43567517407591538</v>
      </c>
      <c r="E1467" s="52">
        <v>0.20858598585865129</v>
      </c>
      <c r="F1467" s="52">
        <v>9.5812063679937387E-2</v>
      </c>
      <c r="G1467" s="52">
        <v>6.1223924759645387E-2</v>
      </c>
      <c r="H1467" s="52">
        <v>0.11306723801736181</v>
      </c>
      <c r="I1467" s="119">
        <v>488.6261039709882</v>
      </c>
    </row>
    <row r="1468" spans="1:9" x14ac:dyDescent="0.3">
      <c r="A1468" s="23">
        <v>1450</v>
      </c>
      <c r="B1468" s="52">
        <v>5.6766223996848886E-2</v>
      </c>
      <c r="C1468" s="52">
        <v>0.29092379026250853</v>
      </c>
      <c r="D1468" s="52">
        <v>0.50279500381877962</v>
      </c>
      <c r="E1468" s="52">
        <v>0.19266441063980425</v>
      </c>
      <c r="F1468" s="52">
        <v>0.10159702879751292</v>
      </c>
      <c r="G1468" s="52">
        <v>4.0974571171461069E-2</v>
      </c>
      <c r="H1468" s="52">
        <v>0.11175029447405854</v>
      </c>
      <c r="I1468" s="119">
        <v>175.76828158573156</v>
      </c>
    </row>
    <row r="1469" spans="1:9" x14ac:dyDescent="0.3">
      <c r="A1469" s="23">
        <v>1451</v>
      </c>
      <c r="B1469" s="52">
        <v>7.0754888794370668E-2</v>
      </c>
      <c r="C1469" s="52">
        <v>0.28127457488691227</v>
      </c>
      <c r="D1469" s="52">
        <v>0.62114999361307044</v>
      </c>
      <c r="E1469" s="52">
        <v>0.20844937783249165</v>
      </c>
      <c r="F1469" s="52">
        <v>0.10434565191841849</v>
      </c>
      <c r="G1469" s="52">
        <v>5.2714113953013661E-2</v>
      </c>
      <c r="H1469" s="52">
        <v>9.7963271848062583E-2</v>
      </c>
      <c r="I1469" s="119">
        <v>225.27787348666791</v>
      </c>
    </row>
    <row r="1470" spans="1:9" x14ac:dyDescent="0.3">
      <c r="A1470" s="23">
        <v>1452</v>
      </c>
      <c r="B1470" s="52">
        <v>5.5568662001841948E-2</v>
      </c>
      <c r="C1470" s="52">
        <v>0.29015835152904834</v>
      </c>
      <c r="D1470" s="52">
        <v>0.68911539490931495</v>
      </c>
      <c r="E1470" s="52">
        <v>0.18969212179656236</v>
      </c>
      <c r="F1470" s="52">
        <v>9.9403392463744314E-2</v>
      </c>
      <c r="G1470" s="52">
        <v>6.0224505309856916E-2</v>
      </c>
      <c r="H1470" s="52">
        <v>0.11425608197755324</v>
      </c>
      <c r="I1470" s="119">
        <v>363.62045490655044</v>
      </c>
    </row>
    <row r="1471" spans="1:9" x14ac:dyDescent="0.3">
      <c r="A1471" s="23">
        <v>1453</v>
      </c>
      <c r="B1471" s="52">
        <v>7.3315006863306831E-2</v>
      </c>
      <c r="C1471" s="52">
        <v>0.25383154030583377</v>
      </c>
      <c r="D1471" s="52">
        <v>0.54181373888787621</v>
      </c>
      <c r="E1471" s="52">
        <v>0.19828839596792872</v>
      </c>
      <c r="F1471" s="52">
        <v>9.4743490881716588E-2</v>
      </c>
      <c r="G1471" s="52">
        <v>5.1699738111192897E-2</v>
      </c>
      <c r="H1471" s="52">
        <v>8.3938227775443547E-2</v>
      </c>
      <c r="I1471" s="119">
        <v>220.17814137155284</v>
      </c>
    </row>
    <row r="1472" spans="1:9" x14ac:dyDescent="0.3">
      <c r="A1472" s="23">
        <v>1454</v>
      </c>
      <c r="B1472" s="52">
        <v>6.0791693307862854E-2</v>
      </c>
      <c r="C1472" s="52">
        <v>0.26950200030962951</v>
      </c>
      <c r="D1472" s="52">
        <v>0.49740723150394872</v>
      </c>
      <c r="E1472" s="52">
        <v>0.21315287149909387</v>
      </c>
      <c r="F1472" s="52">
        <v>9.9041299626953697E-2</v>
      </c>
      <c r="G1472" s="52">
        <v>4.854551074797897E-2</v>
      </c>
      <c r="H1472" s="52">
        <v>9.9751652902415833E-2</v>
      </c>
      <c r="I1472" s="119">
        <v>187.56995654937325</v>
      </c>
    </row>
    <row r="1473" spans="1:9" x14ac:dyDescent="0.3">
      <c r="A1473" s="23">
        <v>1455</v>
      </c>
      <c r="B1473" s="52">
        <v>6.6893698729515533E-2</v>
      </c>
      <c r="C1473" s="52">
        <v>0.2885319746273321</v>
      </c>
      <c r="D1473" s="52">
        <v>0.51493977837487126</v>
      </c>
      <c r="E1473" s="52">
        <v>0.18552456516063329</v>
      </c>
      <c r="F1473" s="52">
        <v>9.5281965572932392E-2</v>
      </c>
      <c r="G1473" s="52">
        <v>5.6543437617305674E-2</v>
      </c>
      <c r="H1473" s="52">
        <v>0.1159718454624393</v>
      </c>
      <c r="I1473" s="119">
        <v>399.07406879412844</v>
      </c>
    </row>
    <row r="1474" spans="1:9" x14ac:dyDescent="0.3">
      <c r="A1474" s="23">
        <v>1456</v>
      </c>
      <c r="B1474" s="52">
        <v>7.1323045115353798E-2</v>
      </c>
      <c r="C1474" s="52">
        <v>0.29186369898263348</v>
      </c>
      <c r="D1474" s="52">
        <v>0.62983813587334547</v>
      </c>
      <c r="E1474" s="52">
        <v>0.21392126323973276</v>
      </c>
      <c r="F1474" s="52">
        <v>0.10276712008219645</v>
      </c>
      <c r="G1474" s="52">
        <v>4.2544874355988728E-2</v>
      </c>
      <c r="H1474" s="52">
        <v>0.10190233109877569</v>
      </c>
      <c r="I1474" s="119">
        <v>202.10897264933686</v>
      </c>
    </row>
    <row r="1475" spans="1:9" x14ac:dyDescent="0.3">
      <c r="A1475" s="23">
        <v>1457</v>
      </c>
      <c r="B1475" s="52">
        <v>6.3689321189109749E-2</v>
      </c>
      <c r="C1475" s="52">
        <v>0.27496734016063273</v>
      </c>
      <c r="D1475" s="52">
        <v>0.69643926521608535</v>
      </c>
      <c r="E1475" s="52">
        <v>0.19143620373931697</v>
      </c>
      <c r="F1475" s="52">
        <v>0.10481921915571342</v>
      </c>
      <c r="G1475" s="52">
        <v>4.6721775054407076E-2</v>
      </c>
      <c r="H1475" s="52">
        <v>0.1160976435837518</v>
      </c>
      <c r="I1475" s="119">
        <v>151.45796824965538</v>
      </c>
    </row>
    <row r="1476" spans="1:9" x14ac:dyDescent="0.3">
      <c r="A1476" s="23">
        <v>1458</v>
      </c>
      <c r="B1476" s="52">
        <v>6.778793778437775E-2</v>
      </c>
      <c r="C1476" s="52">
        <v>0.25933060091425048</v>
      </c>
      <c r="D1476" s="52">
        <v>0.55464367377981016</v>
      </c>
      <c r="E1476" s="52">
        <v>0.19617780490659648</v>
      </c>
      <c r="F1476" s="52">
        <v>0.10181206803057409</v>
      </c>
      <c r="G1476" s="52">
        <v>5.8202684328799943E-2</v>
      </c>
      <c r="H1476" s="52">
        <v>0.11415586240322612</v>
      </c>
      <c r="I1476" s="119">
        <v>215.47508027204188</v>
      </c>
    </row>
    <row r="1477" spans="1:9" x14ac:dyDescent="0.3">
      <c r="A1477" s="23">
        <v>1459</v>
      </c>
      <c r="B1477" s="52">
        <v>7.6818848035730525E-2</v>
      </c>
      <c r="C1477" s="52">
        <v>0.29723794470626769</v>
      </c>
      <c r="D1477" s="52">
        <v>0.4653758126302896</v>
      </c>
      <c r="E1477" s="52">
        <v>0.20719278594433888</v>
      </c>
      <c r="F1477" s="52">
        <v>0.10001693903266279</v>
      </c>
      <c r="G1477" s="52">
        <v>3.9828175866311565E-2</v>
      </c>
      <c r="H1477" s="52">
        <v>9.1357124831610001E-2</v>
      </c>
      <c r="I1477" s="119">
        <v>231.71507075970388</v>
      </c>
    </row>
    <row r="1478" spans="1:9" x14ac:dyDescent="0.3">
      <c r="A1478" s="23">
        <v>1460</v>
      </c>
      <c r="B1478" s="52">
        <v>5.3243509021955571E-2</v>
      </c>
      <c r="C1478" s="52">
        <v>0.28591542430229533</v>
      </c>
      <c r="D1478" s="52">
        <v>0.45031082179551729</v>
      </c>
      <c r="E1478" s="52">
        <v>0.18242703546092712</v>
      </c>
      <c r="F1478" s="52">
        <v>0.10082711573101114</v>
      </c>
      <c r="G1478" s="52">
        <v>6.1593444230394832E-2</v>
      </c>
      <c r="H1478" s="52">
        <v>0.11498790574398729</v>
      </c>
      <c r="I1478" s="119">
        <v>338.20611893439684</v>
      </c>
    </row>
    <row r="1479" spans="1:9" x14ac:dyDescent="0.3">
      <c r="A1479" s="23">
        <v>1461</v>
      </c>
      <c r="B1479" s="52">
        <v>6.3391377960347078E-2</v>
      </c>
      <c r="C1479" s="52">
        <v>0.28386104269145146</v>
      </c>
      <c r="D1479" s="52">
        <v>0.49685900517558917</v>
      </c>
      <c r="E1479" s="52">
        <v>0.19536773944358909</v>
      </c>
      <c r="F1479" s="52">
        <v>9.8940031797790956E-2</v>
      </c>
      <c r="G1479" s="52">
        <v>4.1193357935623218E-2</v>
      </c>
      <c r="H1479" s="52">
        <v>0.10771864206486716</v>
      </c>
      <c r="I1479" s="119">
        <v>187.20661416111813</v>
      </c>
    </row>
    <row r="1480" spans="1:9" x14ac:dyDescent="0.3">
      <c r="A1480" s="23">
        <v>1462</v>
      </c>
      <c r="B1480" s="52">
        <v>6.4380418068645556E-2</v>
      </c>
      <c r="C1480" s="52">
        <v>0.30038902863594719</v>
      </c>
      <c r="D1480" s="52">
        <v>0.46479798748964635</v>
      </c>
      <c r="E1480" s="52">
        <v>0.19012631170905617</v>
      </c>
      <c r="F1480" s="52">
        <v>8.1218537121289874E-2</v>
      </c>
      <c r="G1480" s="52">
        <v>5.5554565506302424E-2</v>
      </c>
      <c r="H1480" s="52">
        <v>0.11132231725955199</v>
      </c>
      <c r="I1480" s="119">
        <v>801.70412173231932</v>
      </c>
    </row>
    <row r="1481" spans="1:9" x14ac:dyDescent="0.3">
      <c r="A1481" s="23">
        <v>1463</v>
      </c>
      <c r="B1481" s="52">
        <v>5.9668384266125772E-2</v>
      </c>
      <c r="C1481" s="52">
        <v>0.2754841421173358</v>
      </c>
      <c r="D1481" s="52">
        <v>0.47851430397292516</v>
      </c>
      <c r="E1481" s="52">
        <v>0.19978671479086757</v>
      </c>
      <c r="F1481" s="52">
        <v>8.770974328391784E-2</v>
      </c>
      <c r="G1481" s="52">
        <v>5.04166467639846E-2</v>
      </c>
      <c r="H1481" s="52">
        <v>0.11579566977839702</v>
      </c>
      <c r="I1481" s="119">
        <v>364.15142481168073</v>
      </c>
    </row>
    <row r="1482" spans="1:9" x14ac:dyDescent="0.3">
      <c r="A1482" s="23">
        <v>1464</v>
      </c>
      <c r="B1482" s="52">
        <v>5.6888439675034957E-2</v>
      </c>
      <c r="C1482" s="52">
        <v>0.29268845620766454</v>
      </c>
      <c r="D1482" s="52">
        <v>0.54025531236440871</v>
      </c>
      <c r="E1482" s="52">
        <v>0.18815812298457138</v>
      </c>
      <c r="F1482" s="52">
        <v>9.8759141149219909E-2</v>
      </c>
      <c r="G1482" s="52">
        <v>4.3309595068000223E-2</v>
      </c>
      <c r="H1482" s="52">
        <v>9.9604751140265235E-2</v>
      </c>
      <c r="I1482" s="119">
        <v>217.82715959744226</v>
      </c>
    </row>
    <row r="1483" spans="1:9" x14ac:dyDescent="0.3">
      <c r="A1483" s="23">
        <v>1465</v>
      </c>
      <c r="B1483" s="52">
        <v>6.332123487613403E-2</v>
      </c>
      <c r="C1483" s="52">
        <v>0.27143966616879822</v>
      </c>
      <c r="D1483" s="52">
        <v>0.56543701020310866</v>
      </c>
      <c r="E1483" s="52">
        <v>0.17533798838098519</v>
      </c>
      <c r="F1483" s="52">
        <v>0.10122394579232227</v>
      </c>
      <c r="G1483" s="52">
        <v>6.0553673413392059E-2</v>
      </c>
      <c r="H1483" s="52">
        <v>0.10748324499420793</v>
      </c>
      <c r="I1483" s="119">
        <v>284.78275017873807</v>
      </c>
    </row>
    <row r="1484" spans="1:9" x14ac:dyDescent="0.3">
      <c r="A1484" s="23">
        <v>1466</v>
      </c>
      <c r="B1484" s="52">
        <v>5.5718590711694521E-2</v>
      </c>
      <c r="C1484" s="52">
        <v>0.28444636281613483</v>
      </c>
      <c r="D1484" s="52">
        <v>0.47132890066780087</v>
      </c>
      <c r="E1484" s="52">
        <v>0.19990249713873567</v>
      </c>
      <c r="F1484" s="52">
        <v>9.6179010853621516E-2</v>
      </c>
      <c r="G1484" s="52">
        <v>4.6302268315825859E-2</v>
      </c>
      <c r="H1484" s="52">
        <v>0.10602960500010782</v>
      </c>
      <c r="I1484" s="119">
        <v>236.65955317454268</v>
      </c>
    </row>
    <row r="1485" spans="1:9" x14ac:dyDescent="0.3">
      <c r="A1485" s="23">
        <v>1467</v>
      </c>
      <c r="B1485" s="52">
        <v>6.0078380520420416E-2</v>
      </c>
      <c r="C1485" s="52">
        <v>0.3066574499894088</v>
      </c>
      <c r="D1485" s="52">
        <v>0.54683391260949366</v>
      </c>
      <c r="E1485" s="52">
        <v>0.20529796003045397</v>
      </c>
      <c r="F1485" s="52">
        <v>9.8102016294261823E-2</v>
      </c>
      <c r="G1485" s="52">
        <v>5.8692747654888862E-2</v>
      </c>
      <c r="H1485" s="52">
        <v>0.1184673252037574</v>
      </c>
      <c r="I1485" s="119">
        <v>439.57676081466224</v>
      </c>
    </row>
    <row r="1486" spans="1:9" x14ac:dyDescent="0.3">
      <c r="A1486" s="23">
        <v>1468</v>
      </c>
      <c r="B1486" s="52">
        <v>6.0214100650674285E-2</v>
      </c>
      <c r="C1486" s="52">
        <v>0.25637211199292026</v>
      </c>
      <c r="D1486" s="52">
        <v>0.55459464349825027</v>
      </c>
      <c r="E1486" s="52">
        <v>0.19285531254945912</v>
      </c>
      <c r="F1486" s="52">
        <v>8.9489684553403309E-2</v>
      </c>
      <c r="G1486" s="52">
        <v>6.1793526997029162E-2</v>
      </c>
      <c r="H1486" s="52">
        <v>0.11302822594001882</v>
      </c>
      <c r="I1486" s="119">
        <v>440.12385311506017</v>
      </c>
    </row>
    <row r="1487" spans="1:9" x14ac:dyDescent="0.3">
      <c r="A1487" s="23">
        <v>1469</v>
      </c>
      <c r="B1487" s="52">
        <v>6.5168223896049121E-2</v>
      </c>
      <c r="C1487" s="52">
        <v>0.28423310758998244</v>
      </c>
      <c r="D1487" s="52">
        <v>0.60676433006702202</v>
      </c>
      <c r="E1487" s="52">
        <v>0.1947523533155528</v>
      </c>
      <c r="F1487" s="52">
        <v>0.10287192293642461</v>
      </c>
      <c r="G1487" s="52">
        <v>5.8649761065535322E-2</v>
      </c>
      <c r="H1487" s="52">
        <v>0.11528288287188186</v>
      </c>
      <c r="I1487" s="119">
        <v>294.54495941379002</v>
      </c>
    </row>
    <row r="1488" spans="1:9" x14ac:dyDescent="0.3">
      <c r="A1488" s="23">
        <v>1470</v>
      </c>
      <c r="B1488" s="52">
        <v>6.0192033065684401E-2</v>
      </c>
      <c r="C1488" s="52">
        <v>0.29084297947246474</v>
      </c>
      <c r="D1488" s="52">
        <v>0.68276053042911478</v>
      </c>
      <c r="E1488" s="52">
        <v>0.2072993941496416</v>
      </c>
      <c r="F1488" s="52">
        <v>0.10001041947359551</v>
      </c>
      <c r="G1488" s="52">
        <v>6.2281583034022349E-2</v>
      </c>
      <c r="H1488" s="52">
        <v>0.10736808165073841</v>
      </c>
      <c r="I1488" s="119">
        <v>396.71790445193625</v>
      </c>
    </row>
    <row r="1489" spans="1:9" x14ac:dyDescent="0.3">
      <c r="A1489" s="23">
        <v>1471</v>
      </c>
      <c r="B1489" s="52">
        <v>8.2896145254887671E-2</v>
      </c>
      <c r="C1489" s="52">
        <v>0.29077298472946184</v>
      </c>
      <c r="D1489" s="52">
        <v>0.48380443404741652</v>
      </c>
      <c r="E1489" s="52">
        <v>0.20269545350800308</v>
      </c>
      <c r="F1489" s="52">
        <v>9.4794190396114114E-2</v>
      </c>
      <c r="G1489" s="52">
        <v>3.9803256831276196E-2</v>
      </c>
      <c r="H1489" s="52">
        <v>0.10626073544990389</v>
      </c>
      <c r="I1489" s="119">
        <v>268.48007318070393</v>
      </c>
    </row>
    <row r="1490" spans="1:9" x14ac:dyDescent="0.3">
      <c r="A1490" s="23">
        <v>1472</v>
      </c>
      <c r="B1490" s="52">
        <v>6.0225537813495225E-2</v>
      </c>
      <c r="C1490" s="52">
        <v>0.26553149251522667</v>
      </c>
      <c r="D1490" s="52">
        <v>0.57973488295273912</v>
      </c>
      <c r="E1490" s="52">
        <v>0.19863783134841068</v>
      </c>
      <c r="F1490" s="52">
        <v>0.10106463156844496</v>
      </c>
      <c r="G1490" s="52">
        <v>5.027936092438974E-2</v>
      </c>
      <c r="H1490" s="52">
        <v>0.11179391607701675</v>
      </c>
      <c r="I1490" s="119">
        <v>168.93302508478985</v>
      </c>
    </row>
    <row r="1491" spans="1:9" x14ac:dyDescent="0.3">
      <c r="A1491" s="23">
        <v>1473</v>
      </c>
      <c r="B1491" s="52">
        <v>6.9643749874482838E-2</v>
      </c>
      <c r="C1491" s="52">
        <v>0.28496365592283784</v>
      </c>
      <c r="D1491" s="52">
        <v>0.43898684404697785</v>
      </c>
      <c r="E1491" s="52">
        <v>0.17147943363971738</v>
      </c>
      <c r="F1491" s="52">
        <v>9.4888869757647251E-2</v>
      </c>
      <c r="G1491" s="52">
        <v>3.6989900719971977E-2</v>
      </c>
      <c r="H1491" s="52">
        <v>7.8068120810446617E-2</v>
      </c>
      <c r="I1491" s="119">
        <v>205.75199621042103</v>
      </c>
    </row>
    <row r="1492" spans="1:9" x14ac:dyDescent="0.3">
      <c r="A1492" s="23">
        <v>1474</v>
      </c>
      <c r="B1492" s="52">
        <v>5.5993736391955137E-2</v>
      </c>
      <c r="C1492" s="52">
        <v>0.27826987025406996</v>
      </c>
      <c r="D1492" s="52">
        <v>0.50047035912392945</v>
      </c>
      <c r="E1492" s="52">
        <v>0.1836982136985025</v>
      </c>
      <c r="F1492" s="52">
        <v>9.5627187975605404E-2</v>
      </c>
      <c r="G1492" s="52">
        <v>4.7529050608697325E-2</v>
      </c>
      <c r="H1492" s="52">
        <v>7.6592856747552396E-2</v>
      </c>
      <c r="I1492" s="119">
        <v>232.63408224015018</v>
      </c>
    </row>
    <row r="1493" spans="1:9" x14ac:dyDescent="0.3">
      <c r="A1493" s="23">
        <v>1475</v>
      </c>
      <c r="B1493" s="52">
        <v>7.6033471538276415E-2</v>
      </c>
      <c r="C1493" s="52">
        <v>0.27154012403946948</v>
      </c>
      <c r="D1493" s="52">
        <v>0.45296323359370433</v>
      </c>
      <c r="E1493" s="52">
        <v>0.20598544046771849</v>
      </c>
      <c r="F1493" s="52">
        <v>9.1796745606602392E-2</v>
      </c>
      <c r="G1493" s="52">
        <v>5.136139213751223E-2</v>
      </c>
      <c r="H1493" s="52">
        <v>0.10725136886693001</v>
      </c>
      <c r="I1493" s="119">
        <v>332.10293389794703</v>
      </c>
    </row>
    <row r="1494" spans="1:9" x14ac:dyDescent="0.3">
      <c r="A1494" s="23">
        <v>1476</v>
      </c>
      <c r="B1494" s="52">
        <v>7.0445922766773555E-2</v>
      </c>
      <c r="C1494" s="52">
        <v>0.30246062588919487</v>
      </c>
      <c r="D1494" s="52">
        <v>0.46374688153989962</v>
      </c>
      <c r="E1494" s="52">
        <v>0.18833559187575502</v>
      </c>
      <c r="F1494" s="52">
        <v>9.8304662923204084E-2</v>
      </c>
      <c r="G1494" s="52">
        <v>4.28762060222476E-2</v>
      </c>
      <c r="H1494" s="52">
        <v>0.11856754233691033</v>
      </c>
      <c r="I1494" s="119">
        <v>273.04016112933851</v>
      </c>
    </row>
    <row r="1495" spans="1:9" x14ac:dyDescent="0.3">
      <c r="A1495" s="23">
        <v>1477</v>
      </c>
      <c r="B1495" s="52">
        <v>7.4560186586423036E-2</v>
      </c>
      <c r="C1495" s="52">
        <v>0.29291246382185254</v>
      </c>
      <c r="D1495" s="52">
        <v>0.57919075692538624</v>
      </c>
      <c r="E1495" s="52">
        <v>0.19502371765632476</v>
      </c>
      <c r="F1495" s="52">
        <v>0.10192218277128715</v>
      </c>
      <c r="G1495" s="52">
        <v>4.2379061311912693E-2</v>
      </c>
      <c r="H1495" s="52">
        <v>9.7253765549047355E-2</v>
      </c>
      <c r="I1495" s="119">
        <v>216.10531766522445</v>
      </c>
    </row>
    <row r="1496" spans="1:9" x14ac:dyDescent="0.3">
      <c r="A1496" s="23">
        <v>1478</v>
      </c>
      <c r="B1496" s="52">
        <v>6.9745233814321628E-2</v>
      </c>
      <c r="C1496" s="52">
        <v>0.29203719717613891</v>
      </c>
      <c r="D1496" s="52">
        <v>0.5355066472083283</v>
      </c>
      <c r="E1496" s="52">
        <v>0.1796524391275364</v>
      </c>
      <c r="F1496" s="52">
        <v>9.0084299592254322E-2</v>
      </c>
      <c r="G1496" s="52">
        <v>4.1107845568872356E-2</v>
      </c>
      <c r="H1496" s="52">
        <v>0.10455957278225683</v>
      </c>
      <c r="I1496" s="119">
        <v>308.2746448103037</v>
      </c>
    </row>
    <row r="1497" spans="1:9" x14ac:dyDescent="0.3">
      <c r="A1497" s="23">
        <v>1479</v>
      </c>
      <c r="B1497" s="52">
        <v>5.903447846713758E-2</v>
      </c>
      <c r="C1497" s="52">
        <v>0.2950086087518865</v>
      </c>
      <c r="D1497" s="52">
        <v>0.53130538264121596</v>
      </c>
      <c r="E1497" s="52">
        <v>0.17889948866549793</v>
      </c>
      <c r="F1497" s="52">
        <v>9.5904980518430064E-2</v>
      </c>
      <c r="G1497" s="52">
        <v>5.4637598236980528E-2</v>
      </c>
      <c r="H1497" s="52">
        <v>0.10140710677124598</v>
      </c>
      <c r="I1497" s="119">
        <v>370.20735025323012</v>
      </c>
    </row>
    <row r="1498" spans="1:9" x14ac:dyDescent="0.3">
      <c r="A1498" s="23">
        <v>1480</v>
      </c>
      <c r="B1498" s="52">
        <v>5.5820221283575666E-2</v>
      </c>
      <c r="C1498" s="52">
        <v>0.29041091784217632</v>
      </c>
      <c r="D1498" s="52">
        <v>0.51665623209399714</v>
      </c>
      <c r="E1498" s="52">
        <v>0.18528781395000987</v>
      </c>
      <c r="F1498" s="52">
        <v>8.2200866603192063E-2</v>
      </c>
      <c r="G1498" s="52">
        <v>5.583471255793597E-2</v>
      </c>
      <c r="H1498" s="52">
        <v>0.10382131563078387</v>
      </c>
      <c r="I1498" s="119">
        <v>680.06737279842616</v>
      </c>
    </row>
    <row r="1499" spans="1:9" x14ac:dyDescent="0.3">
      <c r="A1499" s="23">
        <v>1481</v>
      </c>
      <c r="B1499" s="52">
        <v>6.540174527344271E-2</v>
      </c>
      <c r="C1499" s="52">
        <v>0.29568570747249273</v>
      </c>
      <c r="D1499" s="52">
        <v>0.57065748712157538</v>
      </c>
      <c r="E1499" s="52">
        <v>0.20640980954248617</v>
      </c>
      <c r="F1499" s="52">
        <v>0.10657050071225205</v>
      </c>
      <c r="G1499" s="52">
        <v>6.317543195193713E-2</v>
      </c>
      <c r="H1499" s="52">
        <v>0.11911790870002718</v>
      </c>
      <c r="I1499" s="119">
        <v>338.73893281543212</v>
      </c>
    </row>
    <row r="1500" spans="1:9" x14ac:dyDescent="0.3">
      <c r="A1500" s="23">
        <v>1482</v>
      </c>
      <c r="B1500" s="52">
        <v>6.0545028537948298E-2</v>
      </c>
      <c r="C1500" s="52">
        <v>0.28192851969190263</v>
      </c>
      <c r="D1500" s="52">
        <v>0.43682490396051776</v>
      </c>
      <c r="E1500" s="52">
        <v>0.18443960917687441</v>
      </c>
      <c r="F1500" s="52">
        <v>9.3451821574196098E-2</v>
      </c>
      <c r="G1500" s="52">
        <v>5.5820406795788702E-2</v>
      </c>
      <c r="H1500" s="52">
        <v>0.11196664904088088</v>
      </c>
      <c r="I1500" s="119">
        <v>376.34815295054267</v>
      </c>
    </row>
    <row r="1501" spans="1:9" x14ac:dyDescent="0.3">
      <c r="A1501" s="23">
        <v>1483</v>
      </c>
      <c r="B1501" s="52">
        <v>7.6627227416877636E-2</v>
      </c>
      <c r="C1501" s="52">
        <v>0.30461246129638558</v>
      </c>
      <c r="D1501" s="52">
        <v>0.40771628614118627</v>
      </c>
      <c r="E1501" s="52">
        <v>0.20928666576272881</v>
      </c>
      <c r="F1501" s="52">
        <v>9.0065653902251713E-2</v>
      </c>
      <c r="G1501" s="52">
        <v>4.8323543943825112E-2</v>
      </c>
      <c r="H1501" s="52">
        <v>0.10750006112946359</v>
      </c>
      <c r="I1501" s="119">
        <v>459.63096811471593</v>
      </c>
    </row>
    <row r="1502" spans="1:9" x14ac:dyDescent="0.3">
      <c r="A1502" s="23">
        <v>1484</v>
      </c>
      <c r="B1502" s="52">
        <v>7.0405795451385228E-2</v>
      </c>
      <c r="C1502" s="52">
        <v>0.29710128396949959</v>
      </c>
      <c r="D1502" s="52">
        <v>0.46829415029282812</v>
      </c>
      <c r="E1502" s="52">
        <v>0.18670930376427999</v>
      </c>
      <c r="F1502" s="52">
        <v>0.10135170264459807</v>
      </c>
      <c r="G1502" s="52">
        <v>4.5267653211024134E-2</v>
      </c>
      <c r="H1502" s="52">
        <v>9.8818365141712494E-2</v>
      </c>
      <c r="I1502" s="119">
        <v>246.11772472053644</v>
      </c>
    </row>
    <row r="1503" spans="1:9" x14ac:dyDescent="0.3">
      <c r="A1503" s="23">
        <v>1485</v>
      </c>
      <c r="B1503" s="52">
        <v>8.8537760929927434E-2</v>
      </c>
      <c r="C1503" s="52">
        <v>0.28268523868888423</v>
      </c>
      <c r="D1503" s="52">
        <v>0.44124886451676992</v>
      </c>
      <c r="E1503" s="52">
        <v>0.1864809720473109</v>
      </c>
      <c r="F1503" s="52">
        <v>9.3595868813272393E-2</v>
      </c>
      <c r="G1503" s="52">
        <v>6.6484558039631159E-2</v>
      </c>
      <c r="H1503" s="52">
        <v>0.11506823819476864</v>
      </c>
      <c r="I1503" s="119">
        <v>686.79300447819219</v>
      </c>
    </row>
    <row r="1504" spans="1:9" x14ac:dyDescent="0.3">
      <c r="A1504" s="23">
        <v>1486</v>
      </c>
      <c r="B1504" s="52">
        <v>6.6604732601782068E-2</v>
      </c>
      <c r="C1504" s="52">
        <v>0.29583648572451227</v>
      </c>
      <c r="D1504" s="52">
        <v>0.62659380375306639</v>
      </c>
      <c r="E1504" s="52">
        <v>0.19509133054697353</v>
      </c>
      <c r="F1504" s="52">
        <v>8.8711067265381055E-2</v>
      </c>
      <c r="G1504" s="52">
        <v>6.1423192836772167E-2</v>
      </c>
      <c r="H1504" s="52">
        <v>0.10609544599894091</v>
      </c>
      <c r="I1504" s="119">
        <v>699.91085504877992</v>
      </c>
    </row>
    <row r="1505" spans="1:9" x14ac:dyDescent="0.3">
      <c r="A1505" s="23">
        <v>1487</v>
      </c>
      <c r="B1505" s="52">
        <v>8.2238806912352816E-2</v>
      </c>
      <c r="C1505" s="52">
        <v>0.27163533673131174</v>
      </c>
      <c r="D1505" s="52">
        <v>0.50909188991809917</v>
      </c>
      <c r="E1505" s="52">
        <v>0.21393984564578744</v>
      </c>
      <c r="F1505" s="52">
        <v>9.9384060819211806E-2</v>
      </c>
      <c r="G1505" s="52">
        <v>5.8191595295001397E-2</v>
      </c>
      <c r="H1505" s="52">
        <v>0.10135004708170453</v>
      </c>
      <c r="I1505" s="119">
        <v>320.83675286977842</v>
      </c>
    </row>
    <row r="1506" spans="1:9" x14ac:dyDescent="0.3">
      <c r="A1506" s="23">
        <v>1488</v>
      </c>
      <c r="B1506" s="52">
        <v>6.913080307194093E-2</v>
      </c>
      <c r="C1506" s="52">
        <v>0.2967470350976521</v>
      </c>
      <c r="D1506" s="52">
        <v>0.43819948128258918</v>
      </c>
      <c r="E1506" s="52">
        <v>0.19442930852793305</v>
      </c>
      <c r="F1506" s="52">
        <v>9.7110412518796776E-2</v>
      </c>
      <c r="G1506" s="52">
        <v>3.2788848907501604E-2</v>
      </c>
      <c r="H1506" s="52">
        <v>0.11233441741986923</v>
      </c>
      <c r="I1506" s="119">
        <v>196.96287403615443</v>
      </c>
    </row>
    <row r="1507" spans="1:9" x14ac:dyDescent="0.3">
      <c r="A1507" s="23">
        <v>1489</v>
      </c>
      <c r="B1507" s="52">
        <v>6.7103493057112551E-2</v>
      </c>
      <c r="C1507" s="52">
        <v>0.29867570478541189</v>
      </c>
      <c r="D1507" s="52">
        <v>0.79424087960941259</v>
      </c>
      <c r="E1507" s="52">
        <v>0.18207021191359657</v>
      </c>
      <c r="F1507" s="52">
        <v>9.417718443802775E-2</v>
      </c>
      <c r="G1507" s="52">
        <v>5.5461229231391629E-2</v>
      </c>
      <c r="H1507" s="52">
        <v>0.12695643049518573</v>
      </c>
      <c r="I1507" s="119">
        <v>445.39098723431891</v>
      </c>
    </row>
    <row r="1508" spans="1:9" x14ac:dyDescent="0.3">
      <c r="A1508" s="23">
        <v>1490</v>
      </c>
      <c r="B1508" s="52">
        <v>5.1792128568135851E-2</v>
      </c>
      <c r="C1508" s="52">
        <v>0.30089365505610283</v>
      </c>
      <c r="D1508" s="52">
        <v>0.6643661047796976</v>
      </c>
      <c r="E1508" s="52">
        <v>0.19616375375849013</v>
      </c>
      <c r="F1508" s="52">
        <v>0.10489767891404723</v>
      </c>
      <c r="G1508" s="52">
        <v>6.0120419592449757E-2</v>
      </c>
      <c r="H1508" s="52">
        <v>9.7642513256438135E-2</v>
      </c>
      <c r="I1508" s="119">
        <v>315.39683165200449</v>
      </c>
    </row>
    <row r="1509" spans="1:9" x14ac:dyDescent="0.3">
      <c r="A1509" s="23">
        <v>1491</v>
      </c>
      <c r="B1509" s="52">
        <v>6.2524761257221034E-2</v>
      </c>
      <c r="C1509" s="52">
        <v>0.25460622941572075</v>
      </c>
      <c r="D1509" s="52">
        <v>0.55173162363847605</v>
      </c>
      <c r="E1509" s="52">
        <v>0.17737616921826158</v>
      </c>
      <c r="F1509" s="52">
        <v>9.930626406294607E-2</v>
      </c>
      <c r="G1509" s="52">
        <v>6.671564121672513E-2</v>
      </c>
      <c r="H1509" s="52">
        <v>0.10613561967333204</v>
      </c>
      <c r="I1509" s="119">
        <v>322.36423926377336</v>
      </c>
    </row>
    <row r="1510" spans="1:9" x14ac:dyDescent="0.3">
      <c r="A1510" s="23">
        <v>1492</v>
      </c>
      <c r="B1510" s="52">
        <v>7.0257782866822216E-2</v>
      </c>
      <c r="C1510" s="52">
        <v>0.27962566150627594</v>
      </c>
      <c r="D1510" s="52">
        <v>0.53675611027982872</v>
      </c>
      <c r="E1510" s="52">
        <v>0.15860373966223731</v>
      </c>
      <c r="F1510" s="52">
        <v>0.10172330699004001</v>
      </c>
      <c r="G1510" s="52">
        <v>6.4513065705428405E-2</v>
      </c>
      <c r="H1510" s="52">
        <v>0.10617263882607994</v>
      </c>
      <c r="I1510" s="119">
        <v>377.19311980872988</v>
      </c>
    </row>
    <row r="1511" spans="1:9" x14ac:dyDescent="0.3">
      <c r="A1511" s="23">
        <v>1493</v>
      </c>
      <c r="B1511" s="52">
        <v>6.3695683372417308E-2</v>
      </c>
      <c r="C1511" s="52">
        <v>0.29238936335454246</v>
      </c>
      <c r="D1511" s="52">
        <v>0.50544552352756145</v>
      </c>
      <c r="E1511" s="52">
        <v>0.20616618995140454</v>
      </c>
      <c r="F1511" s="52">
        <v>8.757880992695595E-2</v>
      </c>
      <c r="G1511" s="52">
        <v>5.6273597062719845E-2</v>
      </c>
      <c r="H1511" s="52">
        <v>9.3385189592612244E-2</v>
      </c>
      <c r="I1511" s="119">
        <v>565.51715957802492</v>
      </c>
    </row>
    <row r="1512" spans="1:9" x14ac:dyDescent="0.3">
      <c r="A1512" s="23">
        <v>1494</v>
      </c>
      <c r="B1512" s="52">
        <v>7.4723407338328815E-2</v>
      </c>
      <c r="C1512" s="52">
        <v>0.27963428386846734</v>
      </c>
      <c r="D1512" s="52">
        <v>0.44170593812911091</v>
      </c>
      <c r="E1512" s="52">
        <v>0.20531303217729649</v>
      </c>
      <c r="F1512" s="52">
        <v>0.10458816148260115</v>
      </c>
      <c r="G1512" s="52">
        <v>4.4590491355935971E-2</v>
      </c>
      <c r="H1512" s="52">
        <v>8.7944873884717334E-2</v>
      </c>
      <c r="I1512" s="119">
        <v>170.52026510149651</v>
      </c>
    </row>
    <row r="1513" spans="1:9" x14ac:dyDescent="0.3">
      <c r="A1513" s="23">
        <v>1495</v>
      </c>
      <c r="B1513" s="52">
        <v>6.4146219428233828E-2</v>
      </c>
      <c r="C1513" s="52">
        <v>0.29875699085764318</v>
      </c>
      <c r="D1513" s="52">
        <v>0.50858542904975379</v>
      </c>
      <c r="E1513" s="52">
        <v>0.19230879332287865</v>
      </c>
      <c r="F1513" s="52">
        <v>8.9445948935844719E-2</v>
      </c>
      <c r="G1513" s="52">
        <v>5.3774663220070421E-2</v>
      </c>
      <c r="H1513" s="52">
        <v>9.8814402509793176E-2</v>
      </c>
      <c r="I1513" s="119">
        <v>501.65718562817722</v>
      </c>
    </row>
    <row r="1514" spans="1:9" x14ac:dyDescent="0.3">
      <c r="A1514" s="23">
        <v>1496</v>
      </c>
      <c r="B1514" s="52">
        <v>6.7272498539927783E-2</v>
      </c>
      <c r="C1514" s="52">
        <v>0.28898980741377961</v>
      </c>
      <c r="D1514" s="52">
        <v>0.63340476395068368</v>
      </c>
      <c r="E1514" s="52">
        <v>0.19514328043923462</v>
      </c>
      <c r="F1514" s="52">
        <v>0.10242871114293778</v>
      </c>
      <c r="G1514" s="52">
        <v>3.3340151009508809E-2</v>
      </c>
      <c r="H1514" s="52">
        <v>0.10023571093628285</v>
      </c>
      <c r="I1514" s="119">
        <v>142.07113539405518</v>
      </c>
    </row>
    <row r="1515" spans="1:9" x14ac:dyDescent="0.3">
      <c r="A1515" s="23">
        <v>1497</v>
      </c>
      <c r="B1515" s="52">
        <v>5.804800870849286E-2</v>
      </c>
      <c r="C1515" s="52">
        <v>0.29540635347536515</v>
      </c>
      <c r="D1515" s="52">
        <v>0.71092414282820693</v>
      </c>
      <c r="E1515" s="52">
        <v>0.2001796645244055</v>
      </c>
      <c r="F1515" s="52">
        <v>8.9520322777577502E-2</v>
      </c>
      <c r="G1515" s="52">
        <v>5.8265212960675959E-2</v>
      </c>
      <c r="H1515" s="52">
        <v>9.943669976896137E-2</v>
      </c>
      <c r="I1515" s="119">
        <v>558.86186358136194</v>
      </c>
    </row>
    <row r="1516" spans="1:9" x14ac:dyDescent="0.3">
      <c r="A1516" s="23">
        <v>1498</v>
      </c>
      <c r="B1516" s="52">
        <v>6.3557013687602956E-2</v>
      </c>
      <c r="C1516" s="52">
        <v>0.27115287663259846</v>
      </c>
      <c r="D1516" s="52">
        <v>0.53810823439501354</v>
      </c>
      <c r="E1516" s="52">
        <v>0.18655898544023125</v>
      </c>
      <c r="F1516" s="52">
        <v>9.2303691272876687E-2</v>
      </c>
      <c r="G1516" s="52">
        <v>4.1654605970827319E-2</v>
      </c>
      <c r="H1516" s="52">
        <v>0.11002161539512639</v>
      </c>
      <c r="I1516" s="119">
        <v>206.66530961598073</v>
      </c>
    </row>
    <row r="1517" spans="1:9" x14ac:dyDescent="0.3">
      <c r="A1517" s="23">
        <v>1499</v>
      </c>
      <c r="B1517" s="52">
        <v>7.2515893294795741E-2</v>
      </c>
      <c r="C1517" s="52">
        <v>0.2724102560465041</v>
      </c>
      <c r="D1517" s="52">
        <v>0.49388997144156538</v>
      </c>
      <c r="E1517" s="52">
        <v>0.19348342390768872</v>
      </c>
      <c r="F1517" s="52">
        <v>0.10058864263575289</v>
      </c>
      <c r="G1517" s="52">
        <v>5.1769172231263552E-2</v>
      </c>
      <c r="H1517" s="52">
        <v>9.3796088587891568E-2</v>
      </c>
      <c r="I1517" s="119">
        <v>227.09562334701428</v>
      </c>
    </row>
    <row r="1518" spans="1:9" x14ac:dyDescent="0.3">
      <c r="A1518" s="23">
        <v>1500</v>
      </c>
      <c r="B1518" s="52">
        <v>6.4945045842292659E-2</v>
      </c>
      <c r="C1518" s="52">
        <v>0.30516641253511312</v>
      </c>
      <c r="D1518" s="52">
        <v>0.62618232651787198</v>
      </c>
      <c r="E1518" s="52">
        <v>0.18061572149529642</v>
      </c>
      <c r="F1518" s="52">
        <v>9.4789083016636785E-2</v>
      </c>
      <c r="G1518" s="52">
        <v>4.9773443983681748E-2</v>
      </c>
      <c r="H1518" s="52">
        <v>0.1010063810485218</v>
      </c>
      <c r="I1518" s="119">
        <v>378.04578995167253</v>
      </c>
    </row>
  </sheetData>
  <mergeCells count="2">
    <mergeCell ref="A1:P2"/>
    <mergeCell ref="A4:P4"/>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B296F-CC3C-4FD2-8C0B-2A339532804E}">
  <sheetPr codeName="Sheet9">
    <tabColor rgb="FF009C31"/>
  </sheetPr>
  <dimension ref="A1:P53"/>
  <sheetViews>
    <sheetView showGridLines="0" zoomScale="80" zoomScaleNormal="80" workbookViewId="0">
      <selection activeCell="N11" sqref="N11"/>
    </sheetView>
  </sheetViews>
  <sheetFormatPr defaultRowHeight="14.4" x14ac:dyDescent="0.3"/>
  <cols>
    <col min="1" max="1" width="8.88671875" style="5"/>
    <col min="2" max="2" width="13.33203125" style="23" bestFit="1" customWidth="1"/>
    <col min="3" max="3" width="9.33203125" style="23" bestFit="1" customWidth="1"/>
    <col min="4" max="4" width="8.88671875" style="5" customWidth="1"/>
    <col min="5" max="5" width="8.88671875" style="5"/>
    <col min="6" max="6" width="16.44140625" style="5" bestFit="1" customWidth="1"/>
    <col min="7" max="16384" width="8.88671875" style="5"/>
  </cols>
  <sheetData>
    <row r="1" spans="1:16" s="1" customFormat="1" x14ac:dyDescent="0.3">
      <c r="A1" s="161" t="s">
        <v>151</v>
      </c>
      <c r="B1" s="161"/>
      <c r="C1" s="161"/>
      <c r="D1" s="161"/>
      <c r="E1" s="161"/>
      <c r="F1" s="161"/>
      <c r="G1" s="161"/>
      <c r="H1" s="161"/>
      <c r="I1" s="161"/>
      <c r="J1" s="161"/>
      <c r="K1" s="161"/>
      <c r="L1" s="161"/>
      <c r="M1" s="161"/>
      <c r="N1" s="161"/>
      <c r="O1" s="161"/>
      <c r="P1" s="161"/>
    </row>
    <row r="2" spans="1:16" s="1" customFormat="1" x14ac:dyDescent="0.3">
      <c r="A2" s="161"/>
      <c r="B2" s="161"/>
      <c r="C2" s="161"/>
      <c r="D2" s="161"/>
      <c r="E2" s="161"/>
      <c r="F2" s="161"/>
      <c r="G2" s="161"/>
      <c r="H2" s="161"/>
      <c r="I2" s="161"/>
      <c r="J2" s="161"/>
      <c r="K2" s="161"/>
      <c r="L2" s="161"/>
      <c r="M2" s="161"/>
      <c r="N2" s="161"/>
      <c r="O2" s="161"/>
      <c r="P2" s="161"/>
    </row>
    <row r="3" spans="1:16" x14ac:dyDescent="0.3">
      <c r="B3" s="5"/>
      <c r="C3" s="5"/>
    </row>
    <row r="4" spans="1:16" x14ac:dyDescent="0.3">
      <c r="B4" s="5"/>
      <c r="C4" s="5"/>
    </row>
    <row r="5" spans="1:16" ht="15.6" x14ac:dyDescent="0.3">
      <c r="B5" s="125" t="s">
        <v>152</v>
      </c>
      <c r="C5" s="11"/>
      <c r="D5" s="12"/>
      <c r="F5" s="125" t="s">
        <v>162</v>
      </c>
      <c r="G5" s="11"/>
      <c r="H5" s="12"/>
      <c r="J5" s="67" cm="1">
        <f t="array" ref="J5">INDEX(MonteCarlo_Engine!I:I,18+Control_Panel!B15)</f>
        <v>378.04578995167253</v>
      </c>
    </row>
    <row r="6" spans="1:16" x14ac:dyDescent="0.3">
      <c r="B6" s="13" t="s">
        <v>153</v>
      </c>
      <c r="C6" s="55"/>
      <c r="D6" s="122">
        <f>AVERAGE(MonteCarlo_Engine!I19:INDEX(MonteCarlo_Engine!I:I,18+Control_Panel!B15))</f>
        <v>349.87217477035927</v>
      </c>
      <c r="F6" s="13" t="s">
        <v>163</v>
      </c>
      <c r="G6" s="15"/>
      <c r="H6" s="128">
        <f ca="1">COUNTIF(
 MonteCarlo_Engine!I19:INDEX(MonteCarlo_Engine!I:I,18+Control_Panel!B15),
 "&lt;"&amp;Control_Panel!B20
)
/Control_Panel!B15</f>
        <v>0.56733333333333336</v>
      </c>
      <c r="J6" s="67">
        <f>COUNT(MonteCarlo_Engine!I19:I2000)</f>
        <v>1500</v>
      </c>
    </row>
    <row r="7" spans="1:16" x14ac:dyDescent="0.3">
      <c r="B7" s="13" t="s">
        <v>154</v>
      </c>
      <c r="C7" s="55"/>
      <c r="D7" s="122">
        <f>MEDIAN(MonteCarlo_Engine!I19:INDEX(MonteCarlo_Engine!I:I,18+Control_Panel!B15))</f>
        <v>301.07662849324765</v>
      </c>
      <c r="F7" s="13" t="s">
        <v>164</v>
      </c>
      <c r="G7" s="15"/>
      <c r="H7" s="290">
        <f ca="1">COUNTIF(
 MonteCarlo_Engine!I19:INDEX(MonteCarlo_Engine!I:I,18+Control_Panel!B15),
 "&gt;"&amp;Control_Panel!B20
)/Control_Panel!B15</f>
        <v>0.43266666666666664</v>
      </c>
    </row>
    <row r="8" spans="1:16" x14ac:dyDescent="0.3">
      <c r="B8" s="13" t="s">
        <v>155</v>
      </c>
      <c r="C8" s="55"/>
      <c r="D8" s="122">
        <f>MIN(MonteCarlo_Engine!I19:INDEX(MonteCarlo_Engine!I:I,18+Control_Panel!B15))</f>
        <v>16.626758307476184</v>
      </c>
      <c r="F8" s="13" t="s">
        <v>165</v>
      </c>
      <c r="G8" s="15"/>
      <c r="H8" s="128">
        <f>COUNTIF(
 MonteCarlo_Engine!I19:INDEX(MonteCarlo_Engine!I:I,18+Control_Panel!B15),
 "&lt;0"
)/Control_Panel!B15</f>
        <v>0</v>
      </c>
    </row>
    <row r="9" spans="1:16" x14ac:dyDescent="0.3">
      <c r="B9" s="13" t="s">
        <v>156</v>
      </c>
      <c r="C9" s="55"/>
      <c r="D9" s="122">
        <f>MAX(MonteCarlo_Engine!I19:INDEX(MonteCarlo_Engine!I:I,18+Control_Panel!B15))</f>
        <v>2642.2311920902102</v>
      </c>
      <c r="F9" s="13" t="s">
        <v>166</v>
      </c>
      <c r="G9" s="15"/>
      <c r="H9" s="129">
        <f ca="1">D6-Control_Panel!B20</f>
        <v>24.372174770359265</v>
      </c>
    </row>
    <row r="10" spans="1:16" x14ac:dyDescent="0.3">
      <c r="B10" s="13" t="s">
        <v>157</v>
      </c>
      <c r="C10" s="55"/>
      <c r="D10" s="123">
        <f>_xlfn.STDEV.P(MonteCarlo_Engine!I19:INDEX(MonteCarlo_Engine!I:I,18+Control_Panel!B15))</f>
        <v>210.3145885815604</v>
      </c>
      <c r="F10" s="13" t="s">
        <v>167</v>
      </c>
      <c r="G10" s="15"/>
      <c r="H10" s="130">
        <f ca="1">DCF_Valuation!C30</f>
        <v>168.80901181509782</v>
      </c>
    </row>
    <row r="11" spans="1:16" x14ac:dyDescent="0.3">
      <c r="B11" s="13" t="s">
        <v>158</v>
      </c>
      <c r="C11" s="55"/>
      <c r="D11" s="123">
        <f>_xlfn.PERCENTILE.INC(MonteCarlo_Engine!I19:INDEX(MonteCarlo_Engine!I:I,18+Control_Panel!B15),0.05)</f>
        <v>134.32250975758311</v>
      </c>
      <c r="F11" s="17" t="s">
        <v>168</v>
      </c>
      <c r="G11" s="18"/>
      <c r="H11" s="131">
        <f>D6</f>
        <v>349.87217477035927</v>
      </c>
    </row>
    <row r="12" spans="1:16" x14ac:dyDescent="0.3">
      <c r="B12" s="13" t="s">
        <v>159</v>
      </c>
      <c r="C12" s="55"/>
      <c r="D12" s="123">
        <f>_xlfn.PERCENTILE.INC(MonteCarlo_Engine!I19:INDEX(MonteCarlo_Engine!I:I,18+Control_Panel!B15),0.25)</f>
        <v>219.36259872098819</v>
      </c>
    </row>
    <row r="13" spans="1:16" x14ac:dyDescent="0.3">
      <c r="B13" s="13" t="s">
        <v>160</v>
      </c>
      <c r="C13" s="55"/>
      <c r="D13" s="123">
        <f>_xlfn.PERCENTILE.INC(
  MonteCarlo_Engine!I19:INDEX(MonteCarlo_Engine!I:I,18+Control_Panel!B15),
  0.75
)</f>
        <v>416.31548566695346</v>
      </c>
    </row>
    <row r="14" spans="1:16" x14ac:dyDescent="0.3">
      <c r="B14" s="17" t="s">
        <v>161</v>
      </c>
      <c r="C14" s="57"/>
      <c r="D14" s="124">
        <f>_xlfn.PERCENTILE.INC(
  MonteCarlo_Engine!I19:INDEX(MonteCarlo_Engine!I:I,18+Control_Panel!B15),
  0.95
)</f>
        <v>716.91067200512498</v>
      </c>
    </row>
    <row r="15" spans="1:16" x14ac:dyDescent="0.3">
      <c r="B15" s="5"/>
      <c r="C15" s="5"/>
    </row>
    <row r="16" spans="1:16" x14ac:dyDescent="0.3">
      <c r="B16" s="5"/>
      <c r="C16" s="5"/>
    </row>
    <row r="17" spans="2:6" x14ac:dyDescent="0.3">
      <c r="B17" s="5" t="s">
        <v>170</v>
      </c>
      <c r="C17" s="5" t="s">
        <v>171</v>
      </c>
    </row>
    <row r="18" spans="2:6" x14ac:dyDescent="0.3">
      <c r="B18" s="23">
        <f ca="1">FLOOR(MIN(MonteCarlo_Engine!I5:J19),500)</f>
        <v>0</v>
      </c>
      <c r="C18" s="23">
        <f ca="1">IFERROR(
 COUNTIFS(MonteCarlo_Engine!I18:I2018,"&gt;="&amp;B18,
          MonteCarlo_Engine!I18:I2018,"&lt;"&amp;B19),
 0
)</f>
        <v>117</v>
      </c>
      <c r="E18" s="23"/>
      <c r="F18" s="127"/>
    </row>
    <row r="19" spans="2:6" x14ac:dyDescent="0.3">
      <c r="B19" s="23">
        <f ca="1">B18+150</f>
        <v>150</v>
      </c>
      <c r="C19" s="23">
        <f ca="1">IFERROR(
 COUNTIFS(MonteCarlo_Engine!I19:I2019,"&gt;="&amp;B19,
          MonteCarlo_Engine!I19:I2019,"&lt;"&amp;B20),
 0
)</f>
        <v>627</v>
      </c>
      <c r="E19" s="23"/>
      <c r="F19" s="127"/>
    </row>
    <row r="20" spans="2:6" x14ac:dyDescent="0.3">
      <c r="B20" s="23">
        <f t="shared" ref="B20:B35" ca="1" si="0">B19+150</f>
        <v>300</v>
      </c>
      <c r="C20" s="23">
        <f ca="1">IFERROR(
 COUNTIFS(MonteCarlo_Engine!I20:I2020,"&gt;="&amp;B20,
          MonteCarlo_Engine!I20:I2020,"&lt;"&amp;B21),
 0
)</f>
        <v>438</v>
      </c>
    </row>
    <row r="21" spans="2:6" x14ac:dyDescent="0.3">
      <c r="B21" s="23">
        <f t="shared" ca="1" si="0"/>
        <v>450</v>
      </c>
      <c r="C21" s="23">
        <f ca="1">IFERROR(
 COUNTIFS(MonteCarlo_Engine!I21:I2021,"&gt;="&amp;B21,
          MonteCarlo_Engine!I21:I2021,"&lt;"&amp;B22),
 0
)</f>
        <v>179</v>
      </c>
    </row>
    <row r="22" spans="2:6" x14ac:dyDescent="0.3">
      <c r="B22" s="23">
        <f t="shared" ca="1" si="0"/>
        <v>600</v>
      </c>
      <c r="C22" s="23">
        <f ca="1">IFERROR(
 COUNTIFS(MonteCarlo_Engine!I22:I2022,"&gt;="&amp;B22,
          MonteCarlo_Engine!I22:I2022,"&lt;"&amp;B23),
 0
)</f>
        <v>69</v>
      </c>
    </row>
    <row r="23" spans="2:6" x14ac:dyDescent="0.3">
      <c r="B23" s="23">
        <f t="shared" ca="1" si="0"/>
        <v>750</v>
      </c>
      <c r="C23" s="23">
        <f ca="1">IFERROR(
 COUNTIFS(MonteCarlo_Engine!I23:I2023,"&gt;="&amp;B23,
          MonteCarlo_Engine!I23:I2023,"&lt;"&amp;B24),
 0
)</f>
        <v>39</v>
      </c>
    </row>
    <row r="24" spans="2:6" x14ac:dyDescent="0.3">
      <c r="B24" s="23">
        <f t="shared" ca="1" si="0"/>
        <v>900</v>
      </c>
      <c r="C24" s="23">
        <f ca="1">IFERROR(
 COUNTIFS(MonteCarlo_Engine!I24:I2024,"&gt;="&amp;B24,
          MonteCarlo_Engine!I24:I2024,"&lt;"&amp;B25),
 0
)</f>
        <v>15</v>
      </c>
    </row>
    <row r="25" spans="2:6" x14ac:dyDescent="0.3">
      <c r="B25" s="23">
        <f t="shared" ca="1" si="0"/>
        <v>1050</v>
      </c>
      <c r="C25" s="23">
        <f ca="1">IFERROR(
 COUNTIFS(MonteCarlo_Engine!I25:I2025,"&gt;="&amp;B25,
          MonteCarlo_Engine!I25:I2025,"&lt;"&amp;B26),
 0
)</f>
        <v>6</v>
      </c>
    </row>
    <row r="26" spans="2:6" x14ac:dyDescent="0.3">
      <c r="B26" s="23">
        <f t="shared" ca="1" si="0"/>
        <v>1200</v>
      </c>
      <c r="C26" s="23">
        <f ca="1">IFERROR(
 COUNTIFS(MonteCarlo_Engine!I26:I2026,"&gt;="&amp;B26,
          MonteCarlo_Engine!I26:I2026,"&lt;"&amp;B27),
 0
)</f>
        <v>3</v>
      </c>
    </row>
    <row r="27" spans="2:6" x14ac:dyDescent="0.3">
      <c r="B27" s="23">
        <f t="shared" ca="1" si="0"/>
        <v>1350</v>
      </c>
      <c r="C27" s="23">
        <f ca="1">IFERROR(
 COUNTIFS(MonteCarlo_Engine!I27:I2027,"&gt;="&amp;B27,
          MonteCarlo_Engine!I27:I2027,"&lt;"&amp;B28),
 0
)</f>
        <v>1</v>
      </c>
    </row>
    <row r="28" spans="2:6" x14ac:dyDescent="0.3">
      <c r="B28" s="23">
        <f t="shared" ca="1" si="0"/>
        <v>1500</v>
      </c>
      <c r="C28" s="23">
        <f ca="1">IFERROR(
 COUNTIFS(MonteCarlo_Engine!I28:I2028,"&gt;="&amp;B28,
          MonteCarlo_Engine!I28:I2028,"&lt;"&amp;B29),
 0
)</f>
        <v>1</v>
      </c>
    </row>
    <row r="29" spans="2:6" x14ac:dyDescent="0.3">
      <c r="B29" s="23">
        <f t="shared" ca="1" si="0"/>
        <v>1650</v>
      </c>
      <c r="C29" s="23">
        <f ca="1">IFERROR(
 COUNTIFS(MonteCarlo_Engine!I29:I2029,"&gt;="&amp;B29,
          MonteCarlo_Engine!I29:I2029,"&lt;"&amp;B30),
 0
)</f>
        <v>1</v>
      </c>
    </row>
    <row r="30" spans="2:6" x14ac:dyDescent="0.3">
      <c r="B30" s="23">
        <f t="shared" ca="1" si="0"/>
        <v>1800</v>
      </c>
      <c r="C30" s="23">
        <f ca="1">IFERROR(
 COUNTIFS(MonteCarlo_Engine!I30:I2030,"&gt;="&amp;B30,
          MonteCarlo_Engine!I30:I2030,"&lt;"&amp;B31),
 0
)</f>
        <v>1</v>
      </c>
    </row>
    <row r="31" spans="2:6" x14ac:dyDescent="0.3">
      <c r="B31" s="23">
        <f t="shared" ca="1" si="0"/>
        <v>1950</v>
      </c>
      <c r="C31" s="23">
        <f ca="1">IFERROR(
 COUNTIFS(MonteCarlo_Engine!I31:I2031,"&gt;="&amp;B31,
          MonteCarlo_Engine!I31:I2031,"&lt;"&amp;B32),
 0
)</f>
        <v>0</v>
      </c>
    </row>
    <row r="32" spans="2:6" x14ac:dyDescent="0.3">
      <c r="B32" s="23">
        <f t="shared" ca="1" si="0"/>
        <v>2100</v>
      </c>
      <c r="C32" s="23">
        <f ca="1">IFERROR(
 COUNTIFS(MonteCarlo_Engine!I32:I2032,"&gt;="&amp;B32,
          MonteCarlo_Engine!I32:I2032,"&lt;"&amp;B33),
 0
)</f>
        <v>0</v>
      </c>
    </row>
    <row r="33" spans="2:14" x14ac:dyDescent="0.3">
      <c r="B33" s="23">
        <f t="shared" ca="1" si="0"/>
        <v>2250</v>
      </c>
      <c r="C33" s="23">
        <f ca="1">IFERROR(
 COUNTIFS(MonteCarlo_Engine!I33:I2033,"&gt;="&amp;B33,
          MonteCarlo_Engine!I33:I2033,"&lt;"&amp;B34),
 0
)</f>
        <v>0</v>
      </c>
    </row>
    <row r="34" spans="2:14" x14ac:dyDescent="0.3">
      <c r="B34" s="23">
        <f t="shared" ca="1" si="0"/>
        <v>2400</v>
      </c>
      <c r="C34" s="23">
        <f ca="1">IFERROR(
 COUNTIFS(MonteCarlo_Engine!I34:I2034,"&gt;="&amp;B34,
          MonteCarlo_Engine!I34:I2034,"&lt;"&amp;B35),
 0
)</f>
        <v>1</v>
      </c>
    </row>
    <row r="35" spans="2:14" x14ac:dyDescent="0.3">
      <c r="B35" s="23">
        <f t="shared" ca="1" si="0"/>
        <v>2550</v>
      </c>
      <c r="C35" s="23">
        <f ca="1">IFERROR(
 COUNTIFS(MonteCarlo_Engine!I19:I2018,"&gt;="&amp;B35),
 0
)</f>
        <v>1</v>
      </c>
    </row>
    <row r="38" spans="2:14" ht="14.4" customHeight="1" x14ac:dyDescent="0.3">
      <c r="B38" s="175" t="s">
        <v>172</v>
      </c>
      <c r="C38" s="176"/>
      <c r="D38" s="176"/>
      <c r="E38" s="176"/>
      <c r="F38" s="176"/>
      <c r="G38" s="176"/>
      <c r="H38" s="176"/>
      <c r="I38" s="176"/>
      <c r="J38" s="176"/>
      <c r="K38" s="176"/>
      <c r="L38" s="176"/>
      <c r="M38" s="176"/>
      <c r="N38" s="177"/>
    </row>
    <row r="39" spans="2:14" x14ac:dyDescent="0.3">
      <c r="B39" s="178"/>
      <c r="C39" s="179"/>
      <c r="D39" s="179"/>
      <c r="E39" s="179"/>
      <c r="F39" s="179"/>
      <c r="G39" s="179"/>
      <c r="H39" s="179"/>
      <c r="I39" s="179"/>
      <c r="J39" s="179"/>
      <c r="K39" s="179"/>
      <c r="L39" s="179"/>
      <c r="M39" s="179"/>
      <c r="N39" s="180"/>
    </row>
    <row r="40" spans="2:14" x14ac:dyDescent="0.3">
      <c r="B40" s="178"/>
      <c r="C40" s="179"/>
      <c r="D40" s="179"/>
      <c r="E40" s="179"/>
      <c r="F40" s="179"/>
      <c r="G40" s="179"/>
      <c r="H40" s="179"/>
      <c r="I40" s="179"/>
      <c r="J40" s="179"/>
      <c r="K40" s="179"/>
      <c r="L40" s="179"/>
      <c r="M40" s="179"/>
      <c r="N40" s="180"/>
    </row>
    <row r="41" spans="2:14" x14ac:dyDescent="0.3">
      <c r="B41" s="178"/>
      <c r="C41" s="179"/>
      <c r="D41" s="179"/>
      <c r="E41" s="179"/>
      <c r="F41" s="179"/>
      <c r="G41" s="179"/>
      <c r="H41" s="179"/>
      <c r="I41" s="179"/>
      <c r="J41" s="179"/>
      <c r="K41" s="179"/>
      <c r="L41" s="179"/>
      <c r="M41" s="179"/>
      <c r="N41" s="180"/>
    </row>
    <row r="42" spans="2:14" x14ac:dyDescent="0.3">
      <c r="B42" s="178"/>
      <c r="C42" s="179"/>
      <c r="D42" s="179"/>
      <c r="E42" s="179"/>
      <c r="F42" s="179"/>
      <c r="G42" s="179"/>
      <c r="H42" s="179"/>
      <c r="I42" s="179"/>
      <c r="J42" s="179"/>
      <c r="K42" s="179"/>
      <c r="L42" s="179"/>
      <c r="M42" s="179"/>
      <c r="N42" s="180"/>
    </row>
    <row r="43" spans="2:14" x14ac:dyDescent="0.3">
      <c r="B43" s="178"/>
      <c r="C43" s="179"/>
      <c r="D43" s="179"/>
      <c r="E43" s="179"/>
      <c r="F43" s="179"/>
      <c r="G43" s="179"/>
      <c r="H43" s="179"/>
      <c r="I43" s="179"/>
      <c r="J43" s="179"/>
      <c r="K43" s="179"/>
      <c r="L43" s="179"/>
      <c r="M43" s="179"/>
      <c r="N43" s="180"/>
    </row>
    <row r="44" spans="2:14" x14ac:dyDescent="0.3">
      <c r="B44" s="181"/>
      <c r="C44" s="182"/>
      <c r="D44" s="182"/>
      <c r="E44" s="182"/>
      <c r="F44" s="182"/>
      <c r="G44" s="182"/>
      <c r="H44" s="182"/>
      <c r="I44" s="182"/>
      <c r="J44" s="182"/>
      <c r="K44" s="182"/>
      <c r="L44" s="182"/>
      <c r="M44" s="182"/>
      <c r="N44" s="183"/>
    </row>
    <row r="47" spans="2:14" x14ac:dyDescent="0.3">
      <c r="B47" s="184">
        <f>D11</f>
        <v>134.32250975758311</v>
      </c>
      <c r="C47" s="185"/>
      <c r="D47" s="186"/>
      <c r="F47" s="184">
        <f>D6</f>
        <v>349.87217477035927</v>
      </c>
      <c r="G47" s="185"/>
      <c r="H47" s="186"/>
      <c r="J47" s="184">
        <f>D14</f>
        <v>716.91067200512498</v>
      </c>
      <c r="K47" s="185"/>
      <c r="L47" s="185"/>
      <c r="M47" s="186"/>
    </row>
    <row r="48" spans="2:14" x14ac:dyDescent="0.3">
      <c r="B48" s="187"/>
      <c r="C48" s="188"/>
      <c r="D48" s="189"/>
      <c r="F48" s="187"/>
      <c r="G48" s="188"/>
      <c r="H48" s="189"/>
      <c r="J48" s="187"/>
      <c r="K48" s="188"/>
      <c r="L48" s="188"/>
      <c r="M48" s="189"/>
    </row>
    <row r="49" spans="2:13" x14ac:dyDescent="0.3">
      <c r="B49" s="187"/>
      <c r="C49" s="188"/>
      <c r="D49" s="189"/>
      <c r="F49" s="187"/>
      <c r="G49" s="188"/>
      <c r="H49" s="189"/>
      <c r="J49" s="187"/>
      <c r="K49" s="188"/>
      <c r="L49" s="188"/>
      <c r="M49" s="189"/>
    </row>
    <row r="50" spans="2:13" x14ac:dyDescent="0.3">
      <c r="B50" s="187"/>
      <c r="C50" s="188"/>
      <c r="D50" s="189"/>
      <c r="F50" s="187"/>
      <c r="G50" s="188"/>
      <c r="H50" s="189"/>
      <c r="J50" s="187"/>
      <c r="K50" s="188"/>
      <c r="L50" s="188"/>
      <c r="M50" s="189"/>
    </row>
    <row r="51" spans="2:13" x14ac:dyDescent="0.3">
      <c r="B51" s="190"/>
      <c r="C51" s="191"/>
      <c r="D51" s="192"/>
      <c r="F51" s="190"/>
      <c r="G51" s="191"/>
      <c r="H51" s="192"/>
      <c r="J51" s="190"/>
      <c r="K51" s="191"/>
      <c r="L51" s="191"/>
      <c r="M51" s="192"/>
    </row>
    <row r="53" spans="2:13" ht="15.6" x14ac:dyDescent="0.3">
      <c r="B53" s="174" t="s">
        <v>173</v>
      </c>
      <c r="C53" s="174"/>
      <c r="D53" s="174"/>
      <c r="E53" s="132"/>
      <c r="F53" s="174" t="s">
        <v>168</v>
      </c>
      <c r="G53" s="174"/>
      <c r="H53" s="174"/>
      <c r="I53" s="132"/>
      <c r="J53" s="174" t="s">
        <v>174</v>
      </c>
      <c r="K53" s="174"/>
      <c r="L53" s="174"/>
      <c r="M53" s="174"/>
    </row>
  </sheetData>
  <mergeCells count="8">
    <mergeCell ref="B53:D53"/>
    <mergeCell ref="F53:H53"/>
    <mergeCell ref="J53:M53"/>
    <mergeCell ref="A1:P2"/>
    <mergeCell ref="B38:N44"/>
    <mergeCell ref="B47:D51"/>
    <mergeCell ref="F47:H51"/>
    <mergeCell ref="J47:M51"/>
  </mergeCells>
  <conditionalFormatting sqref="H6">
    <cfRule type="cellIs" dxfId="1" priority="3" operator="greaterThan">
      <formula>50%</formula>
    </cfRule>
  </conditionalFormatting>
  <conditionalFormatting sqref="H7">
    <cfRule type="cellIs" dxfId="0" priority="1" operator="greaterThan">
      <formula>0.5</formula>
    </cfRule>
  </conditionalFormatting>
  <pageMargins left="0.7" right="0.7" top="0.75" bottom="0.75" header="0.3" footer="0.3"/>
  <ignoredErrors>
    <ignoredError sqref="C20:C21 C35 C22:C34" formulaRange="1"/>
  </ignoredErrors>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4ECC90-B456-466A-8E5C-1D80AC340645}">
  <sheetPr codeName="Sheet10">
    <tabColor rgb="FF009C31"/>
  </sheetPr>
  <dimension ref="A1:L35"/>
  <sheetViews>
    <sheetView showGridLines="0" workbookViewId="0">
      <selection activeCell="I7" sqref="I7"/>
    </sheetView>
  </sheetViews>
  <sheetFormatPr defaultRowHeight="14.4" x14ac:dyDescent="0.3"/>
  <cols>
    <col min="1" max="1" width="8.88671875" style="28"/>
    <col min="2" max="2" width="22.109375" style="28" bestFit="1" customWidth="1"/>
    <col min="3" max="3" width="8.88671875" style="28"/>
    <col min="4" max="4" width="8.88671875" style="41"/>
    <col min="5" max="12" width="8.88671875" style="28"/>
    <col min="13" max="16384" width="8.88671875" style="5"/>
  </cols>
  <sheetData>
    <row r="1" spans="1:12" s="1" customFormat="1" x14ac:dyDescent="0.3"/>
    <row r="2" spans="1:12" s="1" customFormat="1" x14ac:dyDescent="0.3"/>
    <row r="3" spans="1:12" s="1" customFormat="1" ht="18" x14ac:dyDescent="0.3">
      <c r="B3" s="193" t="s">
        <v>175</v>
      </c>
      <c r="C3" s="193"/>
      <c r="D3" s="193"/>
      <c r="E3" s="193"/>
    </row>
    <row r="4" spans="1:12" s="1" customFormat="1" x14ac:dyDescent="0.3"/>
    <row r="5" spans="1:12" x14ac:dyDescent="0.3">
      <c r="A5" s="5"/>
      <c r="B5" s="9" t="s">
        <v>176</v>
      </c>
      <c r="C5" s="11"/>
      <c r="D5" s="133">
        <f>Control_Panel!B15</f>
        <v>1500</v>
      </c>
      <c r="E5" s="12" t="str">
        <f>IF(D6=D5,"OK","Check")</f>
        <v>OK</v>
      </c>
      <c r="F5" s="5"/>
      <c r="G5" s="5"/>
      <c r="H5" s="5"/>
      <c r="I5" s="5"/>
      <c r="J5" s="5"/>
      <c r="K5" s="5"/>
      <c r="L5" s="5"/>
    </row>
    <row r="6" spans="1:12" x14ac:dyDescent="0.3">
      <c r="A6" s="5"/>
      <c r="B6" s="13" t="s">
        <v>177</v>
      </c>
      <c r="C6" s="15"/>
      <c r="D6" s="134">
        <f>COUNT(MonteCarlo_Engine!I19:I3000)</f>
        <v>1500</v>
      </c>
      <c r="E6" s="16" t="str">
        <f ca="1">IF(D7=0,"OK","Error")</f>
        <v>OK</v>
      </c>
      <c r="F6" s="5"/>
      <c r="G6" s="5"/>
      <c r="H6" s="5"/>
      <c r="I6" s="5"/>
      <c r="J6" s="5"/>
      <c r="K6" s="5"/>
      <c r="L6" s="5"/>
    </row>
    <row r="7" spans="1:12" x14ac:dyDescent="0.3">
      <c r="A7" s="5"/>
      <c r="B7" s="13" t="s">
        <v>178</v>
      </c>
      <c r="C7" s="15"/>
      <c r="D7" s="134">
        <f ca="1">COUNTIF(MonteCarlo_Engine!I:I,"#*")</f>
        <v>0</v>
      </c>
      <c r="E7" s="16"/>
      <c r="F7" s="5"/>
      <c r="G7" s="5"/>
      <c r="H7" s="5"/>
      <c r="I7" s="5"/>
      <c r="J7" s="5"/>
      <c r="K7" s="5"/>
      <c r="L7" s="5"/>
    </row>
    <row r="8" spans="1:12" x14ac:dyDescent="0.3">
      <c r="A8" s="5"/>
      <c r="B8" s="13" t="s">
        <v>179</v>
      </c>
      <c r="C8" s="15"/>
      <c r="D8" s="134">
        <f>IF(AND(MonteCarlo_Results!D6&gt;=MonteCarlo_Results!D11,MonteCarlo_Results!D6&lt;=MonteCarlo_Results!D14),1,0)</f>
        <v>1</v>
      </c>
      <c r="E8" s="16" t="str">
        <f>IF(D8=1,"OK","Check")</f>
        <v>OK</v>
      </c>
      <c r="F8" s="5"/>
      <c r="G8" s="5"/>
      <c r="H8" s="5"/>
      <c r="I8" s="5"/>
      <c r="J8" s="5"/>
      <c r="K8" s="5"/>
      <c r="L8" s="5"/>
    </row>
    <row r="9" spans="1:12" x14ac:dyDescent="0.3">
      <c r="A9" s="5"/>
      <c r="B9" s="13" t="s">
        <v>180</v>
      </c>
      <c r="C9" s="15"/>
      <c r="D9" s="135">
        <f ca="1">MonteCarlo_Results!H6+MonteCarlo_Results!H7</f>
        <v>1</v>
      </c>
      <c r="E9" s="16" t="str">
        <f ca="1">IF(ABS(D9-1)&lt;0.05,"OK","Check")</f>
        <v>OK</v>
      </c>
      <c r="F9" s="5"/>
      <c r="G9" s="5"/>
      <c r="H9" s="5"/>
      <c r="I9" s="5"/>
      <c r="J9" s="5"/>
      <c r="K9" s="5"/>
      <c r="L9" s="5"/>
    </row>
    <row r="10" spans="1:12" x14ac:dyDescent="0.3">
      <c r="A10" s="5"/>
      <c r="B10" s="13" t="s">
        <v>181</v>
      </c>
      <c r="C10" s="15"/>
      <c r="D10" s="134">
        <f>COUNTIF(MonteCarlo_Engine!I19:I2000,"&lt;0")</f>
        <v>0</v>
      </c>
      <c r="E10" s="16" t="str">
        <f>IF(D10=0,"OK","Review")</f>
        <v>OK</v>
      </c>
      <c r="F10" s="5"/>
      <c r="G10" s="5"/>
      <c r="H10" s="5"/>
      <c r="I10" s="5"/>
      <c r="J10" s="5"/>
      <c r="K10" s="5"/>
      <c r="L10" s="5"/>
    </row>
    <row r="11" spans="1:12" x14ac:dyDescent="0.3">
      <c r="A11" s="5"/>
      <c r="B11" s="13" t="s">
        <v>182</v>
      </c>
      <c r="C11" s="15"/>
      <c r="D11" s="134">
        <f>IF(MonteCarlo_Results!D10&gt;0,1,0)</f>
        <v>1</v>
      </c>
      <c r="E11" s="16" t="str">
        <f>IF(D11=1,"OK","Check")</f>
        <v>OK</v>
      </c>
      <c r="F11" s="5"/>
      <c r="G11" s="5"/>
      <c r="H11" s="5"/>
      <c r="I11" s="5"/>
      <c r="J11" s="5"/>
      <c r="K11" s="5"/>
      <c r="L11" s="5"/>
    </row>
    <row r="12" spans="1:12" x14ac:dyDescent="0.3">
      <c r="A12" s="5"/>
      <c r="B12" s="17" t="s">
        <v>183</v>
      </c>
      <c r="C12" s="18"/>
      <c r="D12" s="136">
        <f>IF(MonteCarlo_Results!D6&lt;&gt;0,1,0)</f>
        <v>1</v>
      </c>
      <c r="E12" s="19" t="str">
        <f>IF(D12=1,"OK","Check")</f>
        <v>OK</v>
      </c>
      <c r="F12" s="5"/>
      <c r="G12" s="5"/>
      <c r="H12" s="5"/>
      <c r="I12" s="5"/>
      <c r="J12" s="5"/>
      <c r="K12" s="5"/>
      <c r="L12" s="5"/>
    </row>
    <row r="13" spans="1:12" x14ac:dyDescent="0.3">
      <c r="A13" s="5"/>
      <c r="B13" s="5"/>
      <c r="C13" s="5"/>
      <c r="D13" s="23"/>
      <c r="E13" s="5"/>
      <c r="F13" s="5"/>
      <c r="G13" s="5"/>
      <c r="H13" s="5"/>
      <c r="I13" s="5"/>
      <c r="J13" s="5"/>
      <c r="K13" s="5"/>
      <c r="L13" s="5"/>
    </row>
    <row r="14" spans="1:12" ht="14.4" customHeight="1" x14ac:dyDescent="0.3">
      <c r="A14" s="5"/>
      <c r="B14" s="194" t="s">
        <v>184</v>
      </c>
      <c r="C14" s="195"/>
      <c r="D14" s="195"/>
      <c r="E14" s="196"/>
      <c r="F14" s="5"/>
      <c r="G14" s="5"/>
      <c r="H14" s="5"/>
      <c r="I14" s="5"/>
      <c r="J14" s="5"/>
      <c r="K14" s="5"/>
      <c r="L14" s="5"/>
    </row>
    <row r="15" spans="1:12" x14ac:dyDescent="0.3">
      <c r="A15" s="5"/>
      <c r="B15" s="197"/>
      <c r="C15" s="198"/>
      <c r="D15" s="198"/>
      <c r="E15" s="199"/>
      <c r="F15" s="5"/>
      <c r="G15" s="5"/>
      <c r="H15" s="5"/>
      <c r="I15" s="5"/>
      <c r="J15" s="5"/>
      <c r="K15" s="5"/>
      <c r="L15" s="5"/>
    </row>
    <row r="16" spans="1:12" x14ac:dyDescent="0.3">
      <c r="A16" s="5"/>
      <c r="B16" s="197"/>
      <c r="C16" s="198"/>
      <c r="D16" s="198"/>
      <c r="E16" s="199"/>
      <c r="F16" s="5"/>
      <c r="G16" s="5"/>
      <c r="H16" s="5"/>
      <c r="I16" s="5"/>
      <c r="J16" s="5"/>
      <c r="K16" s="5"/>
      <c r="L16" s="5"/>
    </row>
    <row r="17" spans="1:12" x14ac:dyDescent="0.3">
      <c r="A17" s="5"/>
      <c r="B17" s="197"/>
      <c r="C17" s="198"/>
      <c r="D17" s="198"/>
      <c r="E17" s="199"/>
      <c r="F17" s="5"/>
      <c r="G17" s="5"/>
      <c r="H17" s="5"/>
      <c r="I17" s="5"/>
      <c r="J17" s="5"/>
      <c r="K17" s="5"/>
      <c r="L17" s="5"/>
    </row>
    <row r="18" spans="1:12" x14ac:dyDescent="0.3">
      <c r="A18" s="5"/>
      <c r="B18" s="200"/>
      <c r="C18" s="201"/>
      <c r="D18" s="201"/>
      <c r="E18" s="202"/>
      <c r="F18" s="5"/>
      <c r="G18" s="5"/>
      <c r="H18" s="5"/>
      <c r="I18" s="5"/>
      <c r="J18" s="5"/>
      <c r="K18" s="5"/>
      <c r="L18" s="5"/>
    </row>
    <row r="19" spans="1:12" x14ac:dyDescent="0.3">
      <c r="A19" s="5"/>
      <c r="B19" s="5"/>
      <c r="C19" s="5"/>
      <c r="D19" s="23"/>
      <c r="E19" s="5"/>
      <c r="F19" s="5"/>
      <c r="G19" s="5"/>
      <c r="H19" s="5"/>
      <c r="I19" s="5"/>
      <c r="J19" s="5"/>
      <c r="K19" s="5"/>
      <c r="L19" s="5"/>
    </row>
    <row r="20" spans="1:12" x14ac:dyDescent="0.3">
      <c r="A20" s="5"/>
      <c r="B20" s="5"/>
      <c r="C20" s="5"/>
      <c r="D20" s="23"/>
      <c r="E20" s="5"/>
      <c r="F20" s="5"/>
      <c r="G20" s="5"/>
      <c r="H20" s="5"/>
      <c r="I20" s="5"/>
      <c r="J20" s="5"/>
      <c r="K20" s="5"/>
      <c r="L20" s="5"/>
    </row>
    <row r="21" spans="1:12" x14ac:dyDescent="0.3">
      <c r="A21" s="5"/>
      <c r="B21" s="5"/>
      <c r="C21" s="5"/>
      <c r="D21" s="23"/>
      <c r="E21" s="5"/>
      <c r="F21" s="5"/>
      <c r="G21" s="5"/>
      <c r="H21" s="5"/>
      <c r="I21" s="5"/>
      <c r="J21" s="5"/>
      <c r="K21" s="5"/>
      <c r="L21" s="5"/>
    </row>
    <row r="22" spans="1:12" x14ac:dyDescent="0.3">
      <c r="A22" s="5"/>
      <c r="B22" s="5"/>
      <c r="C22" s="5"/>
      <c r="D22" s="23"/>
      <c r="E22" s="5"/>
      <c r="F22" s="5"/>
      <c r="G22" s="5"/>
      <c r="H22" s="5"/>
      <c r="I22" s="5"/>
      <c r="J22" s="5"/>
      <c r="K22" s="5"/>
      <c r="L22" s="5"/>
    </row>
    <row r="23" spans="1:12" x14ac:dyDescent="0.3">
      <c r="A23" s="5"/>
      <c r="B23" s="5"/>
      <c r="C23" s="5"/>
      <c r="D23" s="23"/>
      <c r="E23" s="5"/>
      <c r="F23" s="5"/>
      <c r="G23" s="5"/>
      <c r="H23" s="5"/>
      <c r="I23" s="5"/>
      <c r="J23" s="5"/>
      <c r="K23" s="5"/>
      <c r="L23" s="5"/>
    </row>
    <row r="24" spans="1:12" x14ac:dyDescent="0.3">
      <c r="A24" s="5"/>
      <c r="B24" s="5"/>
      <c r="C24" s="5"/>
      <c r="D24" s="23"/>
      <c r="E24" s="5"/>
      <c r="F24" s="5"/>
      <c r="G24" s="5"/>
      <c r="H24" s="5"/>
      <c r="I24" s="5"/>
      <c r="J24" s="5"/>
      <c r="K24" s="5"/>
      <c r="L24" s="5"/>
    </row>
    <row r="25" spans="1:12" x14ac:dyDescent="0.3">
      <c r="A25" s="5"/>
      <c r="B25" s="5"/>
      <c r="C25" s="5"/>
      <c r="D25" s="23"/>
      <c r="E25" s="5"/>
      <c r="F25" s="5"/>
      <c r="G25" s="5"/>
      <c r="H25" s="5"/>
      <c r="I25" s="5"/>
      <c r="J25" s="5"/>
      <c r="K25" s="5"/>
      <c r="L25" s="5"/>
    </row>
    <row r="26" spans="1:12" x14ac:dyDescent="0.3">
      <c r="A26" s="5"/>
      <c r="B26" s="5"/>
      <c r="C26" s="5"/>
      <c r="D26" s="23"/>
      <c r="E26" s="5"/>
      <c r="F26" s="5"/>
      <c r="G26" s="5"/>
      <c r="H26" s="5"/>
      <c r="I26" s="5"/>
      <c r="J26" s="5"/>
      <c r="K26" s="5"/>
      <c r="L26" s="5"/>
    </row>
    <row r="27" spans="1:12" x14ac:dyDescent="0.3">
      <c r="A27" s="5"/>
      <c r="B27" s="5"/>
      <c r="C27" s="5"/>
      <c r="D27" s="23"/>
      <c r="E27" s="5"/>
      <c r="F27" s="5"/>
      <c r="G27" s="5"/>
      <c r="H27" s="5"/>
      <c r="I27" s="5"/>
      <c r="J27" s="5"/>
      <c r="K27" s="5"/>
      <c r="L27" s="5"/>
    </row>
    <row r="28" spans="1:12" x14ac:dyDescent="0.3">
      <c r="A28" s="5"/>
      <c r="B28" s="5"/>
      <c r="C28" s="5"/>
      <c r="D28" s="23"/>
      <c r="E28" s="5"/>
      <c r="F28" s="5"/>
      <c r="G28" s="5"/>
      <c r="H28" s="5"/>
      <c r="I28" s="5"/>
      <c r="J28" s="5"/>
      <c r="K28" s="5"/>
      <c r="L28" s="5"/>
    </row>
    <row r="29" spans="1:12" x14ac:dyDescent="0.3">
      <c r="A29" s="5"/>
      <c r="B29" s="5"/>
      <c r="C29" s="5"/>
      <c r="D29" s="23"/>
      <c r="E29" s="5"/>
      <c r="F29" s="5"/>
      <c r="G29" s="5"/>
      <c r="H29" s="5"/>
      <c r="I29" s="5"/>
      <c r="J29" s="5"/>
      <c r="K29" s="5"/>
      <c r="L29" s="5"/>
    </row>
    <row r="30" spans="1:12" x14ac:dyDescent="0.3">
      <c r="A30" s="5"/>
      <c r="B30" s="5"/>
      <c r="C30" s="5"/>
      <c r="D30" s="23"/>
      <c r="E30" s="5"/>
      <c r="F30" s="5"/>
      <c r="G30" s="5"/>
      <c r="H30" s="5"/>
      <c r="I30" s="5"/>
      <c r="J30" s="5"/>
      <c r="K30" s="5"/>
      <c r="L30" s="5"/>
    </row>
    <row r="31" spans="1:12" x14ac:dyDescent="0.3">
      <c r="A31" s="5"/>
      <c r="B31" s="5"/>
      <c r="C31" s="5"/>
      <c r="D31" s="23"/>
      <c r="E31" s="5"/>
      <c r="F31" s="5"/>
      <c r="G31" s="5"/>
      <c r="H31" s="5"/>
      <c r="I31" s="5"/>
      <c r="J31" s="5"/>
      <c r="K31" s="5"/>
      <c r="L31" s="5"/>
    </row>
    <row r="32" spans="1:12" x14ac:dyDescent="0.3">
      <c r="A32" s="5"/>
      <c r="B32" s="5"/>
      <c r="C32" s="5"/>
      <c r="D32" s="23"/>
      <c r="E32" s="5"/>
      <c r="F32" s="5"/>
      <c r="G32" s="5"/>
      <c r="H32" s="5"/>
      <c r="I32" s="5"/>
      <c r="J32" s="5"/>
      <c r="K32" s="5"/>
      <c r="L32" s="5"/>
    </row>
    <row r="33" spans="1:12" x14ac:dyDescent="0.3">
      <c r="A33" s="5"/>
      <c r="B33" s="5"/>
      <c r="C33" s="5"/>
      <c r="D33" s="23"/>
      <c r="E33" s="5"/>
      <c r="F33" s="5"/>
      <c r="G33" s="5"/>
      <c r="H33" s="5"/>
      <c r="I33" s="5"/>
      <c r="J33" s="5"/>
      <c r="K33" s="5"/>
      <c r="L33" s="5"/>
    </row>
    <row r="34" spans="1:12" x14ac:dyDescent="0.3">
      <c r="A34" s="5"/>
      <c r="B34" s="5"/>
      <c r="C34" s="5"/>
      <c r="D34" s="23"/>
      <c r="E34" s="5"/>
      <c r="F34" s="5"/>
      <c r="G34" s="5"/>
      <c r="H34" s="5"/>
      <c r="I34" s="5"/>
      <c r="J34" s="5"/>
      <c r="K34" s="5"/>
      <c r="L34" s="5"/>
    </row>
    <row r="35" spans="1:12" x14ac:dyDescent="0.3">
      <c r="A35" s="5"/>
      <c r="B35" s="5"/>
      <c r="C35" s="5"/>
      <c r="D35" s="23"/>
      <c r="E35" s="5"/>
      <c r="F35" s="5"/>
      <c r="G35" s="5"/>
      <c r="H35" s="5"/>
      <c r="I35" s="5"/>
      <c r="J35" s="5"/>
      <c r="K35" s="5"/>
      <c r="L35" s="5"/>
    </row>
  </sheetData>
  <mergeCells count="2">
    <mergeCell ref="B3:E3"/>
    <mergeCell ref="B14:E18"/>
  </mergeCells>
  <conditionalFormatting sqref="E5:E12">
    <cfRule type="containsText" dxfId="9" priority="1" operator="containsText" text="Review">
      <formula>NOT(ISERROR(SEARCH("Review",E5)))</formula>
    </cfRule>
    <cfRule type="containsText" dxfId="8" priority="2" operator="containsText" text="Error">
      <formula>NOT(ISERROR(SEARCH("Error",E5)))</formula>
    </cfRule>
    <cfRule type="containsText" dxfId="7" priority="3" operator="containsText" text="Check">
      <formula>NOT(ISERROR(SEARCH("Check",E5)))</formula>
    </cfRule>
    <cfRule type="containsText" dxfId="6" priority="4" operator="containsText" text="OK">
      <formula>NOT(ISERROR(SEARCH("OK",E5)))</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172A4-0D76-43AD-A8CE-60F0FB7A78BF}">
  <sheetPr codeName="Sheet11">
    <tabColor rgb="FF009C31"/>
  </sheetPr>
  <dimension ref="A1:O39"/>
  <sheetViews>
    <sheetView showGridLines="0" zoomScale="90" zoomScaleNormal="90" workbookViewId="0">
      <selection activeCell="G14" sqref="G14:I14"/>
    </sheetView>
  </sheetViews>
  <sheetFormatPr defaultRowHeight="14.4" x14ac:dyDescent="0.3"/>
  <cols>
    <col min="1" max="1" width="17.77734375" style="5" bestFit="1" customWidth="1"/>
    <col min="2" max="16384" width="8.88671875" style="5"/>
  </cols>
  <sheetData>
    <row r="1" spans="1:15" s="1" customFormat="1" ht="14.4" customHeight="1" x14ac:dyDescent="0.3">
      <c r="A1" s="207" t="s">
        <v>185</v>
      </c>
      <c r="B1" s="207"/>
      <c r="C1" s="207"/>
      <c r="D1" s="207"/>
      <c r="E1" s="207"/>
      <c r="F1" s="207"/>
      <c r="G1" s="207"/>
      <c r="H1" s="207"/>
      <c r="I1" s="207"/>
      <c r="J1" s="207"/>
      <c r="K1" s="207"/>
      <c r="L1" s="207"/>
      <c r="M1" s="207"/>
      <c r="N1" s="207"/>
      <c r="O1" s="137"/>
    </row>
    <row r="2" spans="1:15" s="1" customFormat="1" ht="14.4" customHeight="1" x14ac:dyDescent="0.3">
      <c r="A2" s="207"/>
      <c r="B2" s="207"/>
      <c r="C2" s="207"/>
      <c r="D2" s="207"/>
      <c r="E2" s="207"/>
      <c r="F2" s="207"/>
      <c r="G2" s="207"/>
      <c r="H2" s="207"/>
      <c r="I2" s="207"/>
      <c r="J2" s="207"/>
      <c r="K2" s="207"/>
      <c r="L2" s="207"/>
      <c r="M2" s="207"/>
      <c r="N2" s="207"/>
      <c r="O2" s="137"/>
    </row>
    <row r="3" spans="1:15" s="1" customFormat="1" ht="14.4" customHeight="1" x14ac:dyDescent="0.3">
      <c r="A3" s="207"/>
      <c r="B3" s="207"/>
      <c r="C3" s="207"/>
      <c r="D3" s="207"/>
      <c r="E3" s="207"/>
      <c r="F3" s="207"/>
      <c r="G3" s="207"/>
      <c r="H3" s="207"/>
      <c r="I3" s="207"/>
      <c r="J3" s="207"/>
      <c r="K3" s="207"/>
      <c r="L3" s="207"/>
      <c r="M3" s="207"/>
      <c r="N3" s="207"/>
      <c r="O3" s="137"/>
    </row>
    <row r="4" spans="1:15" s="1" customFormat="1" x14ac:dyDescent="0.3"/>
    <row r="5" spans="1:15" s="1" customFormat="1" ht="14.4" customHeight="1" x14ac:dyDescent="0.3">
      <c r="B5" s="211">
        <f>MonteCarlo_Results!B47</f>
        <v>134.32250975758311</v>
      </c>
      <c r="C5" s="212"/>
      <c r="D5" s="213"/>
      <c r="F5" s="184">
        <f>MonteCarlo_Results!F47</f>
        <v>349.87217477035927</v>
      </c>
      <c r="G5" s="185"/>
      <c r="H5" s="186"/>
      <c r="J5" s="223">
        <f>MonteCarlo_Results!J47</f>
        <v>716.91067200512498</v>
      </c>
      <c r="K5" s="224"/>
      <c r="L5" s="225"/>
    </row>
    <row r="6" spans="1:15" s="1" customFormat="1" ht="14.4" customHeight="1" x14ac:dyDescent="0.3">
      <c r="B6" s="214"/>
      <c r="C6" s="215"/>
      <c r="D6" s="216"/>
      <c r="F6" s="187"/>
      <c r="G6" s="188"/>
      <c r="H6" s="189"/>
      <c r="J6" s="226"/>
      <c r="K6" s="227"/>
      <c r="L6" s="228"/>
    </row>
    <row r="7" spans="1:15" s="1" customFormat="1" ht="14.4" customHeight="1" x14ac:dyDescent="0.3">
      <c r="B7" s="214"/>
      <c r="C7" s="215"/>
      <c r="D7" s="216"/>
      <c r="F7" s="187"/>
      <c r="G7" s="188"/>
      <c r="H7" s="189"/>
      <c r="J7" s="226"/>
      <c r="K7" s="227"/>
      <c r="L7" s="228"/>
    </row>
    <row r="8" spans="1:15" s="1" customFormat="1" ht="14.4" customHeight="1" x14ac:dyDescent="0.3">
      <c r="B8" s="214"/>
      <c r="C8" s="215"/>
      <c r="D8" s="216"/>
      <c r="F8" s="187"/>
      <c r="G8" s="188"/>
      <c r="H8" s="189"/>
      <c r="J8" s="226"/>
      <c r="K8" s="227"/>
      <c r="L8" s="228"/>
    </row>
    <row r="9" spans="1:15" s="1" customFormat="1" ht="14.4" customHeight="1" x14ac:dyDescent="0.3">
      <c r="B9" s="217" t="s">
        <v>173</v>
      </c>
      <c r="C9" s="218"/>
      <c r="D9" s="219"/>
      <c r="F9" s="217" t="s">
        <v>168</v>
      </c>
      <c r="G9" s="218"/>
      <c r="H9" s="219"/>
      <c r="J9" s="217" t="s">
        <v>174</v>
      </c>
      <c r="K9" s="218"/>
      <c r="L9" s="219"/>
    </row>
    <row r="10" spans="1:15" s="1" customFormat="1" x14ac:dyDescent="0.3">
      <c r="B10" s="220"/>
      <c r="C10" s="221"/>
      <c r="D10" s="222"/>
      <c r="F10" s="220"/>
      <c r="G10" s="221"/>
      <c r="H10" s="222"/>
      <c r="J10" s="220"/>
      <c r="K10" s="221"/>
      <c r="L10" s="222"/>
    </row>
    <row r="11" spans="1:15" x14ac:dyDescent="0.3">
      <c r="A11" s="210"/>
      <c r="B11" s="210"/>
      <c r="C11" s="210"/>
    </row>
    <row r="13" spans="1:15" ht="15.6" x14ac:dyDescent="0.3">
      <c r="A13" s="204" t="s">
        <v>162</v>
      </c>
      <c r="B13" s="205"/>
      <c r="C13" s="206"/>
      <c r="G13" s="208" t="s">
        <v>192</v>
      </c>
      <c r="H13" s="208"/>
      <c r="I13" s="208"/>
    </row>
    <row r="14" spans="1:15" x14ac:dyDescent="0.3">
      <c r="A14" s="6" t="s">
        <v>186</v>
      </c>
      <c r="C14" s="138">
        <f ca="1">MonteCarlo_Results!H6</f>
        <v>0.56733333333333336</v>
      </c>
      <c r="F14" s="95"/>
      <c r="G14" s="209"/>
      <c r="H14" s="209"/>
      <c r="I14" s="209"/>
      <c r="J14" s="95"/>
      <c r="K14" s="95"/>
    </row>
    <row r="15" spans="1:15" x14ac:dyDescent="0.3">
      <c r="A15" s="6" t="s">
        <v>187</v>
      </c>
      <c r="C15" s="138">
        <f ca="1">MonteCarlo_Results!H7</f>
        <v>0.43266666666666664</v>
      </c>
      <c r="E15" s="95"/>
      <c r="F15" s="143"/>
      <c r="G15" s="143"/>
      <c r="H15" s="143"/>
      <c r="I15" s="143"/>
      <c r="J15" s="143"/>
      <c r="K15" s="143"/>
    </row>
    <row r="16" spans="1:15" x14ac:dyDescent="0.3">
      <c r="A16" s="6" t="s">
        <v>188</v>
      </c>
      <c r="C16" s="138">
        <f>MonteCarlo_Results!H8</f>
        <v>0</v>
      </c>
      <c r="E16" s="95"/>
      <c r="F16" s="143"/>
      <c r="G16" s="143"/>
      <c r="H16" s="143"/>
      <c r="I16" s="143"/>
      <c r="J16" s="143"/>
      <c r="K16" s="143"/>
    </row>
    <row r="17" spans="1:11" x14ac:dyDescent="0.3">
      <c r="A17" s="6" t="s">
        <v>189</v>
      </c>
      <c r="C17" s="139">
        <f ca="1">MonteCarlo_Results!H9</f>
        <v>24.372174770359265</v>
      </c>
      <c r="E17" s="95"/>
      <c r="F17" s="143"/>
      <c r="G17" s="143"/>
      <c r="H17" s="143"/>
      <c r="I17" s="143"/>
      <c r="J17" s="143"/>
      <c r="K17" s="143"/>
    </row>
    <row r="18" spans="1:11" x14ac:dyDescent="0.3">
      <c r="A18" s="6" t="s">
        <v>167</v>
      </c>
      <c r="C18" s="139">
        <f ca="1">MonteCarlo_Results!H10</f>
        <v>168.80901181509782</v>
      </c>
      <c r="E18" s="95"/>
      <c r="F18" s="143"/>
      <c r="G18" s="143">
        <v>235.84332105156875</v>
      </c>
      <c r="H18" s="143">
        <v>341.91224889685213</v>
      </c>
      <c r="I18" s="143">
        <v>456.2715925994591</v>
      </c>
      <c r="J18" s="143">
        <v>652.951520334002</v>
      </c>
      <c r="K18" s="143">
        <v>1000.196922395358</v>
      </c>
    </row>
    <row r="19" spans="1:11" x14ac:dyDescent="0.3">
      <c r="A19" s="7" t="s">
        <v>190</v>
      </c>
      <c r="B19" s="8"/>
      <c r="C19" s="140">
        <f>MonteCarlo_Results!H11</f>
        <v>349.87217477035927</v>
      </c>
      <c r="E19" s="95"/>
      <c r="F19" s="143"/>
      <c r="G19" s="143">
        <v>217.29547558322534</v>
      </c>
      <c r="H19" s="143">
        <v>279.50859115236977</v>
      </c>
      <c r="I19" s="143">
        <v>367.41557572255272</v>
      </c>
      <c r="J19" s="143">
        <v>483.2015148425632</v>
      </c>
      <c r="K19" s="143">
        <v>759.75901484860947</v>
      </c>
    </row>
    <row r="20" spans="1:11" x14ac:dyDescent="0.3">
      <c r="E20" s="95"/>
      <c r="F20" s="143"/>
      <c r="G20" s="143">
        <v>203.79458671853578</v>
      </c>
      <c r="H20" s="143">
        <v>226.93482413612449</v>
      </c>
      <c r="I20" s="143">
        <v>306.00679214670561</v>
      </c>
      <c r="J20" s="143">
        <v>401.29195032930841</v>
      </c>
      <c r="K20" s="143">
        <v>634.70635850640906</v>
      </c>
    </row>
    <row r="21" spans="1:11" ht="14.4" customHeight="1" x14ac:dyDescent="0.3">
      <c r="A21" s="162" t="s">
        <v>191</v>
      </c>
      <c r="B21" s="163"/>
      <c r="C21" s="164"/>
    </row>
    <row r="22" spans="1:11" x14ac:dyDescent="0.3">
      <c r="A22" s="165"/>
      <c r="B22" s="166"/>
      <c r="C22" s="167"/>
    </row>
    <row r="23" spans="1:11" x14ac:dyDescent="0.3">
      <c r="A23" s="165"/>
      <c r="B23" s="166"/>
      <c r="C23" s="167"/>
    </row>
    <row r="24" spans="1:11" x14ac:dyDescent="0.3">
      <c r="A24" s="165"/>
      <c r="B24" s="166"/>
      <c r="C24" s="167"/>
    </row>
    <row r="25" spans="1:11" x14ac:dyDescent="0.3">
      <c r="A25" s="165"/>
      <c r="B25" s="166"/>
      <c r="C25" s="167"/>
    </row>
    <row r="26" spans="1:11" x14ac:dyDescent="0.3">
      <c r="A26" s="165"/>
      <c r="B26" s="166"/>
      <c r="C26" s="167"/>
    </row>
    <row r="27" spans="1:11" x14ac:dyDescent="0.3">
      <c r="A27" s="165"/>
      <c r="B27" s="166"/>
      <c r="C27" s="167"/>
    </row>
    <row r="28" spans="1:11" x14ac:dyDescent="0.3">
      <c r="A28" s="165"/>
      <c r="B28" s="166"/>
      <c r="C28" s="167"/>
    </row>
    <row r="29" spans="1:11" x14ac:dyDescent="0.3">
      <c r="A29" s="165"/>
      <c r="B29" s="166"/>
      <c r="C29" s="167"/>
    </row>
    <row r="30" spans="1:11" x14ac:dyDescent="0.3">
      <c r="A30" s="165"/>
      <c r="B30" s="166"/>
      <c r="C30" s="167"/>
    </row>
    <row r="31" spans="1:11" x14ac:dyDescent="0.3">
      <c r="A31" s="165"/>
      <c r="B31" s="166"/>
      <c r="C31" s="167"/>
    </row>
    <row r="32" spans="1:11" x14ac:dyDescent="0.3">
      <c r="A32" s="165"/>
      <c r="B32" s="166"/>
      <c r="C32" s="167"/>
    </row>
    <row r="33" spans="1:15" x14ac:dyDescent="0.3">
      <c r="A33" s="165"/>
      <c r="B33" s="166"/>
      <c r="C33" s="167"/>
    </row>
    <row r="34" spans="1:15" x14ac:dyDescent="0.3">
      <c r="A34" s="165"/>
      <c r="B34" s="166"/>
      <c r="C34" s="167"/>
    </row>
    <row r="35" spans="1:15" x14ac:dyDescent="0.3">
      <c r="A35" s="168"/>
      <c r="B35" s="169"/>
      <c r="C35" s="170"/>
    </row>
    <row r="38" spans="1:15" x14ac:dyDescent="0.3">
      <c r="A38" s="203" t="s">
        <v>212</v>
      </c>
      <c r="B38" s="203"/>
      <c r="C38" s="203"/>
      <c r="D38" s="203"/>
      <c r="E38" s="203"/>
      <c r="F38" s="203"/>
      <c r="G38" s="203"/>
      <c r="H38" s="203"/>
      <c r="I38" s="203"/>
      <c r="J38" s="203"/>
      <c r="K38" s="203"/>
      <c r="L38" s="203"/>
      <c r="M38" s="203"/>
      <c r="N38" s="203"/>
      <c r="O38" s="203"/>
    </row>
    <row r="39" spans="1:15" x14ac:dyDescent="0.3">
      <c r="A39" s="203"/>
      <c r="B39" s="203"/>
      <c r="C39" s="203"/>
      <c r="D39" s="203"/>
      <c r="E39" s="203"/>
      <c r="F39" s="203"/>
      <c r="G39" s="203"/>
      <c r="H39" s="203"/>
      <c r="I39" s="203"/>
      <c r="J39" s="203"/>
      <c r="K39" s="203"/>
      <c r="L39" s="203"/>
      <c r="M39" s="203"/>
      <c r="N39" s="203"/>
      <c r="O39" s="203"/>
    </row>
  </sheetData>
  <mergeCells count="13">
    <mergeCell ref="A38:O39"/>
    <mergeCell ref="A13:C13"/>
    <mergeCell ref="A1:N3"/>
    <mergeCell ref="A21:C35"/>
    <mergeCell ref="G13:I13"/>
    <mergeCell ref="G14:I14"/>
    <mergeCell ref="A11:C11"/>
    <mergeCell ref="B5:D8"/>
    <mergeCell ref="B9:D10"/>
    <mergeCell ref="F5:H8"/>
    <mergeCell ref="F9:H10"/>
    <mergeCell ref="J5:L8"/>
    <mergeCell ref="J9:L10"/>
  </mergeCells>
  <conditionalFormatting sqref="G14:I14">
    <cfRule type="containsText" dxfId="5" priority="1" operator="containsText" text="REVIEW FLAGS">
      <formula>NOT(ISERROR(SEARCH("REVIEW FLAGS",G14)))</formula>
    </cfRule>
    <cfRule type="containsText" dxfId="4" priority="2" operator="containsText" text="Model OK">
      <formula>NOT(ISERROR(SEARCH("Model OK",G14)))</formula>
    </cfRule>
  </conditionalFormatting>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D90645-865F-42C9-8F45-7B2BBB5EA3D2}">
  <sheetPr codeName="Sheet12">
    <tabColor rgb="FF009C31"/>
  </sheetPr>
  <dimension ref="A1:P51"/>
  <sheetViews>
    <sheetView showGridLines="0" zoomScale="80" zoomScaleNormal="80" workbookViewId="0">
      <selection activeCell="S10" sqref="S10"/>
    </sheetView>
  </sheetViews>
  <sheetFormatPr defaultRowHeight="14.4" x14ac:dyDescent="0.3"/>
  <cols>
    <col min="1" max="1" width="15.77734375" style="5" bestFit="1" customWidth="1"/>
    <col min="2" max="3" width="8.88671875" style="5"/>
    <col min="4" max="11" width="11.33203125" style="5" customWidth="1"/>
    <col min="12" max="12" width="8.88671875" style="5"/>
    <col min="13" max="13" width="16.21875" style="5" bestFit="1" customWidth="1"/>
    <col min="14" max="14" width="12.21875" style="5" customWidth="1"/>
    <col min="15" max="15" width="12.88671875" style="5" customWidth="1"/>
    <col min="16" max="16" width="3.33203125" style="5" customWidth="1"/>
    <col min="17" max="16384" width="8.88671875" style="5"/>
  </cols>
  <sheetData>
    <row r="1" spans="1:16" ht="14.4" customHeight="1" x14ac:dyDescent="0.3">
      <c r="A1" s="248" t="s">
        <v>193</v>
      </c>
      <c r="B1" s="248"/>
      <c r="C1" s="248"/>
      <c r="D1" s="248"/>
      <c r="E1" s="248"/>
      <c r="F1" s="248"/>
      <c r="G1" s="248"/>
      <c r="H1" s="248"/>
      <c r="I1" s="248"/>
      <c r="J1" s="248"/>
      <c r="K1" s="248"/>
      <c r="L1" s="248"/>
      <c r="M1" s="248"/>
      <c r="N1" s="248"/>
      <c r="O1" s="248"/>
      <c r="P1" s="248"/>
    </row>
    <row r="2" spans="1:16" ht="14.4" customHeight="1" x14ac:dyDescent="0.3">
      <c r="A2" s="248"/>
      <c r="B2" s="248"/>
      <c r="C2" s="248"/>
      <c r="D2" s="248"/>
      <c r="E2" s="248"/>
      <c r="F2" s="248"/>
      <c r="G2" s="248"/>
      <c r="H2" s="248"/>
      <c r="I2" s="248"/>
      <c r="J2" s="248"/>
      <c r="K2" s="248"/>
      <c r="L2" s="248"/>
      <c r="M2" s="248"/>
      <c r="N2" s="248"/>
      <c r="O2" s="248"/>
      <c r="P2" s="248"/>
    </row>
    <row r="3" spans="1:16" ht="14.4" customHeight="1" x14ac:dyDescent="0.3">
      <c r="A3" s="249"/>
      <c r="B3" s="249"/>
      <c r="C3" s="249"/>
      <c r="D3" s="249"/>
      <c r="E3" s="249"/>
      <c r="F3" s="249"/>
      <c r="G3" s="249"/>
      <c r="H3" s="249"/>
      <c r="I3" s="249"/>
      <c r="J3" s="249"/>
      <c r="K3" s="249"/>
      <c r="L3" s="249"/>
      <c r="M3" s="249"/>
      <c r="N3" s="249"/>
      <c r="O3" s="249"/>
      <c r="P3" s="249"/>
    </row>
    <row r="6" spans="1:16" ht="17.399999999999999" x14ac:dyDescent="0.3">
      <c r="A6" s="184">
        <f ca="1">DCF_Valuation!C30</f>
        <v>168.80901181509782</v>
      </c>
      <c r="B6" s="185"/>
      <c r="C6" s="186"/>
      <c r="E6" s="184">
        <f ca="1">Control_Panel!B20</f>
        <v>325.5</v>
      </c>
      <c r="F6" s="185"/>
      <c r="G6" s="186"/>
      <c r="I6" s="242">
        <f ca="1">(A6/E6)-1</f>
        <v>-0.48138552437757964</v>
      </c>
      <c r="J6" s="243"/>
      <c r="K6" s="244"/>
      <c r="M6" s="300" t="s">
        <v>206</v>
      </c>
      <c r="N6" s="301"/>
      <c r="O6" s="302"/>
    </row>
    <row r="7" spans="1:16" x14ac:dyDescent="0.3">
      <c r="A7" s="187"/>
      <c r="B7" s="188"/>
      <c r="C7" s="189"/>
      <c r="E7" s="187"/>
      <c r="F7" s="188"/>
      <c r="G7" s="189"/>
      <c r="I7" s="245"/>
      <c r="J7" s="246"/>
      <c r="K7" s="247"/>
      <c r="M7" s="277" t="s">
        <v>210</v>
      </c>
      <c r="N7" s="250"/>
      <c r="O7" s="304">
        <f ca="1">AVERAGEIF(MonteCarlo_Engine!I19:I1518,"&lt;" &amp; Control_Panel!B20)</f>
        <v>225.37786994964813</v>
      </c>
    </row>
    <row r="8" spans="1:16" x14ac:dyDescent="0.3">
      <c r="A8" s="187"/>
      <c r="B8" s="188"/>
      <c r="C8" s="189"/>
      <c r="E8" s="187"/>
      <c r="F8" s="188"/>
      <c r="G8" s="189"/>
      <c r="I8" s="245"/>
      <c r="J8" s="246"/>
      <c r="K8" s="247"/>
      <c r="M8" s="277" t="s">
        <v>207</v>
      </c>
      <c r="N8" s="250"/>
      <c r="O8" s="305">
        <f>MEDIAN(MonteCarlo_Engine!I19:I1518)</f>
        <v>301.07662849324765</v>
      </c>
    </row>
    <row r="9" spans="1:16" x14ac:dyDescent="0.3">
      <c r="A9" s="187"/>
      <c r="B9" s="188"/>
      <c r="C9" s="189"/>
      <c r="E9" s="187"/>
      <c r="F9" s="188"/>
      <c r="G9" s="189"/>
      <c r="I9" s="245"/>
      <c r="J9" s="246"/>
      <c r="K9" s="247"/>
      <c r="M9" s="277" t="s">
        <v>208</v>
      </c>
      <c r="N9" s="250"/>
      <c r="O9" s="261">
        <f ca="1">MC_Summary!C15</f>
        <v>0.43266666666666664</v>
      </c>
    </row>
    <row r="10" spans="1:16" x14ac:dyDescent="0.3">
      <c r="A10" s="217" t="s">
        <v>198</v>
      </c>
      <c r="B10" s="218"/>
      <c r="C10" s="219"/>
      <c r="E10" s="217" t="s">
        <v>169</v>
      </c>
      <c r="F10" s="218"/>
      <c r="G10" s="219"/>
      <c r="I10" s="217" t="s">
        <v>194</v>
      </c>
      <c r="J10" s="218"/>
      <c r="K10" s="219"/>
      <c r="M10" s="277" t="s">
        <v>209</v>
      </c>
      <c r="N10" s="250"/>
      <c r="O10" s="260">
        <f ca="1">(MC_Summary!J5-Control_Panel!B20)/(Control_Panel!B20-MC_Summary!B5)</f>
        <v>2.0473679799269693</v>
      </c>
    </row>
    <row r="11" spans="1:16" x14ac:dyDescent="0.3">
      <c r="A11" s="220"/>
      <c r="B11" s="221"/>
      <c r="C11" s="222"/>
      <c r="E11" s="220"/>
      <c r="F11" s="221"/>
      <c r="G11" s="222"/>
      <c r="I11" s="220"/>
      <c r="J11" s="221"/>
      <c r="K11" s="222"/>
      <c r="M11" s="278" t="s">
        <v>211</v>
      </c>
      <c r="N11" s="8"/>
      <c r="O11" s="70">
        <f>_xlfn.STDEV.P(MonteCarlo_Engine!I19:I1518)/AVERAGE(MonteCarlo_Engine!I19:I1518)</f>
        <v>0.60111836192632828</v>
      </c>
    </row>
    <row r="14" spans="1:16" ht="18" x14ac:dyDescent="0.3">
      <c r="A14" s="274" t="s">
        <v>195</v>
      </c>
      <c r="B14" s="275"/>
      <c r="C14" s="276"/>
      <c r="E14" s="240"/>
      <c r="F14" s="241"/>
      <c r="G14" s="287" t="s">
        <v>200</v>
      </c>
      <c r="H14" s="288"/>
      <c r="I14" s="288"/>
      <c r="J14" s="288"/>
      <c r="K14" s="289"/>
      <c r="M14" s="251" t="s">
        <v>205</v>
      </c>
      <c r="N14" s="252"/>
      <c r="O14" s="253"/>
    </row>
    <row r="15" spans="1:16" ht="18" x14ac:dyDescent="0.3">
      <c r="A15" s="277" t="s">
        <v>196</v>
      </c>
      <c r="C15" s="141">
        <f ca="1">Base_Assumptions!C10</f>
        <v>5.9168215360362278E-2</v>
      </c>
      <c r="E15" s="284"/>
      <c r="F15" s="282">
        <v>3.6031468615095187E-2</v>
      </c>
      <c r="G15" s="282">
        <v>4.4750537490217991E-2</v>
      </c>
      <c r="H15" s="282">
        <v>5.0008534152556794E-2</v>
      </c>
      <c r="I15" s="282">
        <v>5.5644148316400376E-2</v>
      </c>
      <c r="J15" s="282">
        <v>6.1224630129576095E-2</v>
      </c>
      <c r="K15" s="283">
        <v>6.8527233347339456E-2</v>
      </c>
      <c r="M15" s="281" t="s">
        <v>201</v>
      </c>
      <c r="N15" s="254" t="s">
        <v>202</v>
      </c>
      <c r="O15" s="255" t="s">
        <v>203</v>
      </c>
    </row>
    <row r="16" spans="1:16" ht="15.6" x14ac:dyDescent="0.3">
      <c r="A16" s="277" t="s">
        <v>23</v>
      </c>
      <c r="C16" s="141">
        <f ca="1">Base_Assumptions!C15</f>
        <v>0.28083782263181095</v>
      </c>
      <c r="E16" s="285">
        <v>8.5707301616116657E-2</v>
      </c>
      <c r="F16" s="291">
        <v>292.57156552340706</v>
      </c>
      <c r="G16" s="292">
        <v>370.43470135212294</v>
      </c>
      <c r="H16" s="292">
        <v>462.36930097940001</v>
      </c>
      <c r="I16" s="292">
        <v>625.43604047813176</v>
      </c>
      <c r="J16" s="292">
        <v>767.5453393412796</v>
      </c>
      <c r="K16" s="293">
        <v>1223.1065125644757</v>
      </c>
      <c r="M16" s="279" t="s">
        <v>139</v>
      </c>
      <c r="N16" s="306">
        <f ca="1">DCF_Valuation!C30</f>
        <v>168.80901181509782</v>
      </c>
      <c r="O16" s="303">
        <f>MonteCarlo_Results!D6</f>
        <v>349.87217477035927</v>
      </c>
    </row>
    <row r="17" spans="1:15" ht="15.6" x14ac:dyDescent="0.3">
      <c r="A17" s="277" t="s">
        <v>85</v>
      </c>
      <c r="C17" s="141">
        <f>Base_Assumptions!C23</f>
        <v>0.12</v>
      </c>
      <c r="E17" s="285">
        <v>9.3021403069382266E-2</v>
      </c>
      <c r="F17" s="294">
        <v>219.78582803467333</v>
      </c>
      <c r="G17" s="295">
        <v>274.60013181653085</v>
      </c>
      <c r="H17" s="295">
        <v>345.77270883010908</v>
      </c>
      <c r="I17" s="295">
        <v>400.10721905224091</v>
      </c>
      <c r="J17" s="295">
        <v>510.52996798060667</v>
      </c>
      <c r="K17" s="296">
        <v>764.49764789178278</v>
      </c>
      <c r="M17" s="279" t="s">
        <v>204</v>
      </c>
      <c r="N17" s="256">
        <f ca="1">(N16/Control_Panel!$B$20)-1</f>
        <v>-0.48138552437757964</v>
      </c>
      <c r="O17" s="257">
        <f ca="1">(O16/Control_Panel!$B$20)-1</f>
        <v>7.4876112965773567E-2</v>
      </c>
    </row>
    <row r="18" spans="1:15" ht="15.6" x14ac:dyDescent="0.3">
      <c r="A18" s="277" t="s">
        <v>197</v>
      </c>
      <c r="C18" s="141">
        <f ca="1">Base_Assumptions!C26</f>
        <v>0.19984056713641812</v>
      </c>
      <c r="E18" s="285">
        <v>9.6640029628425689E-2</v>
      </c>
      <c r="F18" s="294">
        <v>151.0174120692601</v>
      </c>
      <c r="G18" s="295">
        <v>225.1733755768368</v>
      </c>
      <c r="H18" s="295">
        <v>277.56989081806057</v>
      </c>
      <c r="I18" s="295">
        <v>323.05009465091337</v>
      </c>
      <c r="J18" s="295">
        <v>409.7096081301645</v>
      </c>
      <c r="K18" s="296">
        <v>613.3168082602358</v>
      </c>
      <c r="M18" s="279" t="s">
        <v>109</v>
      </c>
      <c r="N18" s="256">
        <f ca="1">WACC_Buildup!C28</f>
        <v>0.10060672047916067</v>
      </c>
      <c r="O18" s="257">
        <f ca="1">AVERAGE(MonteCarlo_Engine!F18:F1518)</f>
        <v>9.5715947818670197E-2</v>
      </c>
    </row>
    <row r="19" spans="1:15" ht="15.6" x14ac:dyDescent="0.3">
      <c r="A19" s="277" t="s">
        <v>109</v>
      </c>
      <c r="C19" s="141">
        <f ca="1">Base_Assumptions!C36</f>
        <v>0.1006261136674322</v>
      </c>
      <c r="E19" s="285">
        <v>0.10021428528134449</v>
      </c>
      <c r="F19" s="294">
        <v>146.83291693880605</v>
      </c>
      <c r="G19" s="295">
        <v>203.13431298591198</v>
      </c>
      <c r="H19" s="295">
        <v>231.63215077782007</v>
      </c>
      <c r="I19" s="295">
        <v>284.96008036239607</v>
      </c>
      <c r="J19" s="295">
        <v>361.18279364976803</v>
      </c>
      <c r="K19" s="296">
        <v>499.29964431598506</v>
      </c>
      <c r="M19" s="280" t="s">
        <v>110</v>
      </c>
      <c r="N19" s="258">
        <f ca="1">DCF_Valuation!K12</f>
        <v>4.2764664541154407E-2</v>
      </c>
      <c r="O19" s="259">
        <f ca="1">AVERAGE(MonteCarlo_Engine!G18:G1518)</f>
        <v>5.15901977775245E-2</v>
      </c>
    </row>
    <row r="20" spans="1:15" ht="15.6" x14ac:dyDescent="0.3">
      <c r="A20" s="277" t="s">
        <v>11</v>
      </c>
      <c r="C20" s="141">
        <f ca="1">Base_Assumptions!C40</f>
        <v>4.2764664541154407E-2</v>
      </c>
      <c r="E20" s="285">
        <v>0.10347722199260657</v>
      </c>
      <c r="F20" s="294">
        <v>105.30187666037035</v>
      </c>
      <c r="G20" s="295">
        <v>156.59442786273584</v>
      </c>
      <c r="H20" s="295">
        <v>197.17592161964487</v>
      </c>
      <c r="I20" s="295">
        <v>240.18771120487219</v>
      </c>
      <c r="J20" s="295">
        <v>290.58714435357922</v>
      </c>
      <c r="K20" s="296">
        <v>406.42885736219375</v>
      </c>
    </row>
    <row r="21" spans="1:15" ht="15.6" x14ac:dyDescent="0.3">
      <c r="A21" s="278" t="s">
        <v>141</v>
      </c>
      <c r="B21" s="8"/>
      <c r="C21" s="142">
        <f ca="1">Base_Assumptions!C41</f>
        <v>0.11856069610842913</v>
      </c>
      <c r="E21" s="286">
        <v>0.10233515832236457</v>
      </c>
      <c r="F21" s="297">
        <v>204.35777891748651</v>
      </c>
      <c r="G21" s="298">
        <v>243.77123675389248</v>
      </c>
      <c r="H21" s="298">
        <v>259.70255303073179</v>
      </c>
      <c r="I21" s="298">
        <v>317.88410131541912</v>
      </c>
      <c r="J21" s="298">
        <v>379.31016865097479</v>
      </c>
      <c r="K21" s="299">
        <v>496.50528943308626</v>
      </c>
    </row>
    <row r="24" spans="1:15" ht="14.4" customHeight="1" x14ac:dyDescent="0.3">
      <c r="A24" s="238" t="s">
        <v>199</v>
      </c>
      <c r="B24" s="238"/>
      <c r="C24" s="238"/>
      <c r="D24" s="238"/>
      <c r="E24" s="238"/>
      <c r="F24" s="238"/>
      <c r="G24" s="238"/>
      <c r="H24" s="238"/>
      <c r="I24" s="238"/>
      <c r="J24" s="238"/>
      <c r="K24" s="238"/>
      <c r="L24" s="238"/>
      <c r="M24" s="238"/>
      <c r="N24" s="238"/>
      <c r="O24" s="238"/>
    </row>
    <row r="25" spans="1:15" ht="14.4" customHeight="1" x14ac:dyDescent="0.3">
      <c r="A25" s="239"/>
      <c r="B25" s="239"/>
      <c r="C25" s="239"/>
      <c r="D25" s="239"/>
      <c r="E25" s="239"/>
      <c r="F25" s="239"/>
      <c r="G25" s="239"/>
      <c r="H25" s="239"/>
      <c r="I25" s="239"/>
      <c r="J25" s="239"/>
      <c r="K25" s="239"/>
      <c r="L25" s="239"/>
      <c r="M25" s="239"/>
      <c r="N25" s="239"/>
      <c r="O25" s="239"/>
    </row>
    <row r="26" spans="1:15" ht="15" thickBot="1" x14ac:dyDescent="0.35"/>
    <row r="27" spans="1:15" ht="22.2" customHeight="1" x14ac:dyDescent="0.3">
      <c r="M27" s="229">
        <f>MonteCarlo_Results!D6</f>
        <v>349.87217477035927</v>
      </c>
      <c r="N27" s="230"/>
      <c r="O27" s="231"/>
    </row>
    <row r="28" spans="1:15" ht="22.2" customHeight="1" x14ac:dyDescent="0.3">
      <c r="M28" s="232"/>
      <c r="N28" s="233"/>
      <c r="O28" s="234"/>
    </row>
    <row r="29" spans="1:15" ht="22.2" customHeight="1" x14ac:dyDescent="0.3">
      <c r="M29" s="232"/>
      <c r="N29" s="233"/>
      <c r="O29" s="234"/>
    </row>
    <row r="30" spans="1:15" ht="22.2" customHeight="1" thickBot="1" x14ac:dyDescent="0.35">
      <c r="M30" s="235" t="s">
        <v>153</v>
      </c>
      <c r="N30" s="236"/>
      <c r="O30" s="237"/>
    </row>
    <row r="31" spans="1:15" ht="22.2" customHeight="1" thickBot="1" x14ac:dyDescent="0.35"/>
    <row r="32" spans="1:15" ht="22.2" customHeight="1" x14ac:dyDescent="0.3">
      <c r="M32" s="229">
        <f>MonteCarlo_Results!D11</f>
        <v>134.32250975758311</v>
      </c>
      <c r="N32" s="230"/>
      <c r="O32" s="231"/>
    </row>
    <row r="33" spans="1:15" ht="22.2" customHeight="1" x14ac:dyDescent="0.3">
      <c r="M33" s="232"/>
      <c r="N33" s="233"/>
      <c r="O33" s="234"/>
    </row>
    <row r="34" spans="1:15" ht="22.2" customHeight="1" x14ac:dyDescent="0.3">
      <c r="M34" s="232"/>
      <c r="N34" s="233"/>
      <c r="O34" s="234"/>
    </row>
    <row r="35" spans="1:15" ht="22.2" customHeight="1" thickBot="1" x14ac:dyDescent="0.35">
      <c r="M35" s="235" t="s">
        <v>158</v>
      </c>
      <c r="N35" s="236"/>
      <c r="O35" s="237"/>
    </row>
    <row r="36" spans="1:15" ht="22.2" customHeight="1" thickBot="1" x14ac:dyDescent="0.35"/>
    <row r="37" spans="1:15" ht="22.2" customHeight="1" x14ac:dyDescent="0.3">
      <c r="M37" s="229">
        <f>MonteCarlo_Results!D14</f>
        <v>716.91067200512498</v>
      </c>
      <c r="N37" s="230"/>
      <c r="O37" s="231"/>
    </row>
    <row r="38" spans="1:15" ht="22.2" customHeight="1" x14ac:dyDescent="0.3">
      <c r="M38" s="232"/>
      <c r="N38" s="233"/>
      <c r="O38" s="234"/>
    </row>
    <row r="39" spans="1:15" ht="22.2" customHeight="1" x14ac:dyDescent="0.3">
      <c r="M39" s="232"/>
      <c r="N39" s="233"/>
      <c r="O39" s="234"/>
    </row>
    <row r="40" spans="1:15" ht="22.2" customHeight="1" thickBot="1" x14ac:dyDescent="0.35">
      <c r="M40" s="235" t="s">
        <v>161</v>
      </c>
      <c r="N40" s="236"/>
      <c r="O40" s="237"/>
    </row>
    <row r="43" spans="1:15" ht="24" customHeight="1" x14ac:dyDescent="0.3">
      <c r="A43" s="262" t="s">
        <v>213</v>
      </c>
      <c r="B43" s="263"/>
      <c r="C43" s="263"/>
      <c r="D43" s="263"/>
      <c r="E43" s="263"/>
      <c r="F43" s="264"/>
      <c r="G43" s="250"/>
      <c r="H43" s="250"/>
      <c r="I43" s="250"/>
      <c r="J43" s="250"/>
      <c r="K43" s="250"/>
      <c r="L43" s="250"/>
      <c r="M43" s="250"/>
      <c r="N43" s="250"/>
      <c r="O43" s="250"/>
    </row>
    <row r="44" spans="1:15" x14ac:dyDescent="0.3">
      <c r="A44" s="265" t="s">
        <v>214</v>
      </c>
      <c r="B44" s="266"/>
      <c r="C44" s="266"/>
      <c r="D44" s="266"/>
      <c r="E44" s="266"/>
      <c r="F44" s="266"/>
      <c r="G44" s="266"/>
      <c r="H44" s="266"/>
      <c r="I44" s="266"/>
      <c r="J44" s="266"/>
      <c r="K44" s="266"/>
      <c r="L44" s="266"/>
      <c r="M44" s="266"/>
      <c r="N44" s="266"/>
      <c r="O44" s="267"/>
    </row>
    <row r="45" spans="1:15" x14ac:dyDescent="0.3">
      <c r="A45" s="268"/>
      <c r="B45" s="269"/>
      <c r="C45" s="269"/>
      <c r="D45" s="269"/>
      <c r="E45" s="269"/>
      <c r="F45" s="269"/>
      <c r="G45" s="269"/>
      <c r="H45" s="269"/>
      <c r="I45" s="269"/>
      <c r="J45" s="269"/>
      <c r="K45" s="269"/>
      <c r="L45" s="269"/>
      <c r="M45" s="269"/>
      <c r="N45" s="269"/>
      <c r="O45" s="270"/>
    </row>
    <row r="46" spans="1:15" x14ac:dyDescent="0.3">
      <c r="A46" s="268"/>
      <c r="B46" s="269"/>
      <c r="C46" s="269"/>
      <c r="D46" s="269"/>
      <c r="E46" s="269"/>
      <c r="F46" s="269"/>
      <c r="G46" s="269"/>
      <c r="H46" s="269"/>
      <c r="I46" s="269"/>
      <c r="J46" s="269"/>
      <c r="K46" s="269"/>
      <c r="L46" s="269"/>
      <c r="M46" s="269"/>
      <c r="N46" s="269"/>
      <c r="O46" s="270"/>
    </row>
    <row r="47" spans="1:15" x14ac:dyDescent="0.3">
      <c r="A47" s="268"/>
      <c r="B47" s="269"/>
      <c r="C47" s="269"/>
      <c r="D47" s="269"/>
      <c r="E47" s="269"/>
      <c r="F47" s="269"/>
      <c r="G47" s="269"/>
      <c r="H47" s="269"/>
      <c r="I47" s="269"/>
      <c r="J47" s="269"/>
      <c r="K47" s="269"/>
      <c r="L47" s="269"/>
      <c r="M47" s="269"/>
      <c r="N47" s="269"/>
      <c r="O47" s="270"/>
    </row>
    <row r="48" spans="1:15" x14ac:dyDescent="0.3">
      <c r="A48" s="268"/>
      <c r="B48" s="269"/>
      <c r="C48" s="269"/>
      <c r="D48" s="269"/>
      <c r="E48" s="269"/>
      <c r="F48" s="269"/>
      <c r="G48" s="269"/>
      <c r="H48" s="269"/>
      <c r="I48" s="269"/>
      <c r="J48" s="269"/>
      <c r="K48" s="269"/>
      <c r="L48" s="269"/>
      <c r="M48" s="269"/>
      <c r="N48" s="269"/>
      <c r="O48" s="270"/>
    </row>
    <row r="49" spans="1:15" x14ac:dyDescent="0.3">
      <c r="A49" s="268"/>
      <c r="B49" s="269"/>
      <c r="C49" s="269"/>
      <c r="D49" s="269"/>
      <c r="E49" s="269"/>
      <c r="F49" s="269"/>
      <c r="G49" s="269"/>
      <c r="H49" s="269"/>
      <c r="I49" s="269"/>
      <c r="J49" s="269"/>
      <c r="K49" s="269"/>
      <c r="L49" s="269"/>
      <c r="M49" s="269"/>
      <c r="N49" s="269"/>
      <c r="O49" s="270"/>
    </row>
    <row r="50" spans="1:15" x14ac:dyDescent="0.3">
      <c r="A50" s="268"/>
      <c r="B50" s="269"/>
      <c r="C50" s="269"/>
      <c r="D50" s="269"/>
      <c r="E50" s="269"/>
      <c r="F50" s="269"/>
      <c r="G50" s="269"/>
      <c r="H50" s="269"/>
      <c r="I50" s="269"/>
      <c r="J50" s="269"/>
      <c r="K50" s="269"/>
      <c r="L50" s="269"/>
      <c r="M50" s="269"/>
      <c r="N50" s="269"/>
      <c r="O50" s="270"/>
    </row>
    <row r="51" spans="1:15" x14ac:dyDescent="0.3">
      <c r="A51" s="271"/>
      <c r="B51" s="272"/>
      <c r="C51" s="272"/>
      <c r="D51" s="272"/>
      <c r="E51" s="272"/>
      <c r="F51" s="272"/>
      <c r="G51" s="272"/>
      <c r="H51" s="272"/>
      <c r="I51" s="272"/>
      <c r="J51" s="272"/>
      <c r="K51" s="272"/>
      <c r="L51" s="272"/>
      <c r="M51" s="272"/>
      <c r="N51" s="272"/>
      <c r="O51" s="273"/>
    </row>
  </sheetData>
  <mergeCells count="21">
    <mergeCell ref="A1:P3"/>
    <mergeCell ref="M14:O14"/>
    <mergeCell ref="M6:O6"/>
    <mergeCell ref="A44:O51"/>
    <mergeCell ref="A43:F43"/>
    <mergeCell ref="A6:C9"/>
    <mergeCell ref="A10:C11"/>
    <mergeCell ref="E6:G9"/>
    <mergeCell ref="E10:G11"/>
    <mergeCell ref="I6:K9"/>
    <mergeCell ref="I10:K11"/>
    <mergeCell ref="M40:O40"/>
    <mergeCell ref="A24:O25"/>
    <mergeCell ref="A14:C14"/>
    <mergeCell ref="E14:F14"/>
    <mergeCell ref="G14:K14"/>
    <mergeCell ref="M32:O34"/>
    <mergeCell ref="M35:O35"/>
    <mergeCell ref="M27:O29"/>
    <mergeCell ref="M30:O30"/>
    <mergeCell ref="M37:O39"/>
  </mergeCells>
  <conditionalFormatting sqref="F16:K21">
    <cfRule type="colorScale" priority="1">
      <colorScale>
        <cfvo type="min"/>
        <cfvo type="percentile" val="50"/>
        <cfvo type="max"/>
        <color rgb="FFF8696B"/>
        <color rgb="FFFFEB84"/>
        <color rgb="FF63BE7B"/>
      </colorScale>
    </cfRule>
  </conditionalFormatting>
  <conditionalFormatting sqref="I6:K9">
    <cfRule type="cellIs" dxfId="3" priority="2" operator="lessThan">
      <formula>0</formula>
    </cfRule>
    <cfRule type="cellIs" dxfId="2" priority="3" operator="greaterThan">
      <formula>0</formula>
    </cfRule>
  </conditionalFormatting>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Cover</vt:lpstr>
      <vt:lpstr>Control_Panel</vt:lpstr>
      <vt:lpstr>Base_Assumptions</vt:lpstr>
      <vt:lpstr>Drivers_Distributions</vt:lpstr>
      <vt:lpstr>Operating_Model</vt:lpstr>
      <vt:lpstr>DCF_Valuation</vt:lpstr>
      <vt:lpstr>WACC_Buildup</vt:lpstr>
      <vt:lpstr>MonteCarlo_Engine</vt:lpstr>
      <vt:lpstr>MonteCarlo_Results</vt:lpstr>
      <vt:lpstr>Checks_MC</vt:lpstr>
      <vt:lpstr>MC_Summary</vt:lpstr>
      <vt:lpstr>Output_Dashboard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Akshat Gupta</dc:creator>
  <cp:lastModifiedBy>Akshat Gupta</cp:lastModifiedBy>
  <dcterms:created xsi:type="dcterms:W3CDTF">2015-06-05T18:17:20Z</dcterms:created>
  <dcterms:modified xsi:type="dcterms:W3CDTF">2025-12-29T15:42:04Z</dcterms:modified>
</cp:coreProperties>
</file>