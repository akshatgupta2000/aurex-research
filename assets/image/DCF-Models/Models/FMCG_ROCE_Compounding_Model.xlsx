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usic\Job &amp; Future\Future\Blogs &amp; Future\Aurex Research\3M Models\"/>
    </mc:Choice>
  </mc:AlternateContent>
  <xr:revisionPtr revIDLastSave="0" documentId="13_ncr:1_{CAC58E4D-F724-4FE9-B497-0D6102B2E896}" xr6:coauthVersionLast="47" xr6:coauthVersionMax="47" xr10:uidLastSave="{00000000-0000-0000-0000-000000000000}"/>
  <bookViews>
    <workbookView xWindow="-108" yWindow="-108" windowWidth="23256" windowHeight="12456" firstSheet="10" activeTab="16" xr2:uid="{00000000-000D-0000-FFFF-FFFF00000000}"/>
  </bookViews>
  <sheets>
    <sheet name="Control" sheetId="1" r:id="rId1"/>
    <sheet name="Assumptions" sheetId="2" r:id="rId2"/>
    <sheet name="ROCE_Drivers" sheetId="3" r:id="rId3"/>
    <sheet name="Revenue_Drivers" sheetId="4" r:id="rId4"/>
    <sheet name="Operating_Margins" sheetId="5" r:id="rId5"/>
    <sheet name="Working_Capital" sheetId="6" r:id="rId6"/>
    <sheet name="Capex_Depreciation" sheetId="7" r:id="rId7"/>
    <sheet name="Income-Statement" sheetId="8" r:id="rId8"/>
    <sheet name="Balance_Sheet" sheetId="9" r:id="rId9"/>
    <sheet name="Cash_Flow (FCFF)" sheetId="10" r:id="rId10"/>
    <sheet name="ROCE_Analysis" sheetId="11" r:id="rId11"/>
    <sheet name="WACC" sheetId="12" r:id="rId12"/>
    <sheet name="DCF_Valuation" sheetId="13" r:id="rId13"/>
    <sheet name="Sensitivity" sheetId="14" r:id="rId14"/>
    <sheet name="Stress_Helper" sheetId="15" r:id="rId15"/>
    <sheet name="Output_Dashboard" sheetId="16" r:id="rId16"/>
    <sheet name="Checks" sheetId="17" r:id="rId17"/>
  </sheets>
  <definedNames>
    <definedName name="ModelRange">DCF_Valuation!$A$1:$F$25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6" l="1" a="1"/>
  <c r="A14" i="16" s="1"/>
  <c r="H15" i="9"/>
  <c r="I15" i="9" s="1"/>
  <c r="J15" i="9" s="1"/>
  <c r="K15" i="9" s="1"/>
  <c r="H8" i="9"/>
  <c r="I8" i="9" s="1"/>
  <c r="J8" i="9" s="1"/>
  <c r="K8" i="9" s="1"/>
  <c r="H24" i="6"/>
  <c r="I24" i="6"/>
  <c r="J24" i="6"/>
  <c r="K24" i="6"/>
  <c r="L24" i="6" s="1"/>
  <c r="H25" i="6"/>
  <c r="I25" i="6" s="1"/>
  <c r="J25" i="6" s="1"/>
  <c r="K25" i="6" s="1"/>
  <c r="H10" i="6"/>
  <c r="I10" i="6" s="1"/>
  <c r="H11" i="6"/>
  <c r="I11" i="6"/>
  <c r="J11" i="6"/>
  <c r="K11" i="6"/>
  <c r="L11" i="6" s="1"/>
  <c r="H16" i="5"/>
  <c r="I16" i="5"/>
  <c r="J16" i="5"/>
  <c r="K16" i="5"/>
  <c r="L16" i="5"/>
  <c r="H20" i="5"/>
  <c r="I20" i="5"/>
  <c r="J20" i="5" s="1"/>
  <c r="K20" i="5" s="1"/>
  <c r="L20" i="5" s="1"/>
  <c r="H11" i="5"/>
  <c r="I11" i="5" s="1"/>
  <c r="J11" i="5" s="1"/>
  <c r="K11" i="5" s="1"/>
  <c r="L11" i="5" s="1"/>
  <c r="H7" i="5"/>
  <c r="I7" i="5"/>
  <c r="J7" i="5"/>
  <c r="K7" i="5"/>
  <c r="L7" i="5"/>
  <c r="J8" i="16" a="1"/>
  <c r="J8" i="16" s="1"/>
  <c r="I8" i="16" a="1"/>
  <c r="I8" i="16" s="1"/>
  <c r="J1" i="16"/>
  <c r="K5" i="14"/>
  <c r="C14" i="2" s="1"/>
  <c r="J5" i="14"/>
  <c r="B14" i="2" s="1"/>
  <c r="K4" i="14"/>
  <c r="C20" i="12" s="1"/>
  <c r="C9" i="16" s="1"/>
  <c r="B16" i="7"/>
  <c r="B23" i="6"/>
  <c r="B9" i="6"/>
  <c r="C7" i="2"/>
  <c r="B7" i="2"/>
  <c r="B16" i="1"/>
  <c r="C5" i="2"/>
  <c r="B12" i="4" s="1"/>
  <c r="C12" i="4" s="1"/>
  <c r="G15" i="15"/>
  <c r="G14" i="15"/>
  <c r="F16" i="15"/>
  <c r="J4" i="14" s="1"/>
  <c r="B20" i="12" s="1"/>
  <c r="B9" i="16" s="1"/>
  <c r="F15" i="15"/>
  <c r="F14" i="15"/>
  <c r="E16" i="15"/>
  <c r="E15" i="15"/>
  <c r="E14" i="15"/>
  <c r="D16" i="15"/>
  <c r="B7" i="7" s="1"/>
  <c r="D15" i="15"/>
  <c r="D14" i="15"/>
  <c r="C16" i="15"/>
  <c r="C15" i="15"/>
  <c r="C14" i="15"/>
  <c r="B16" i="15"/>
  <c r="B5" i="2" s="1"/>
  <c r="B7" i="4" s="1"/>
  <c r="C7" i="4" s="1"/>
  <c r="D7" i="4" s="1"/>
  <c r="B14" i="15"/>
  <c r="B15" i="15"/>
  <c r="C24" i="13" a="1"/>
  <c r="C24" i="13" s="1"/>
  <c r="B24" i="13" a="1"/>
  <c r="B24" i="13" s="1"/>
  <c r="C22" i="13"/>
  <c r="C13" i="12" a="1"/>
  <c r="C13" i="12" s="1"/>
  <c r="B13" i="12" a="1"/>
  <c r="B13" i="12" s="1"/>
  <c r="C14" i="12"/>
  <c r="B14" i="12"/>
  <c r="B22" i="13" s="1"/>
  <c r="C10" i="12"/>
  <c r="C11" i="12" s="1"/>
  <c r="B10" i="12"/>
  <c r="B11" i="12" s="1"/>
  <c r="C7" i="12" a="1"/>
  <c r="C7" i="12" s="1"/>
  <c r="B7" i="12" a="1"/>
  <c r="B7" i="12" s="1"/>
  <c r="B5" i="12" a="1"/>
  <c r="B5" i="12" s="1"/>
  <c r="K7" i="13" l="1"/>
  <c r="D12" i="4"/>
  <c r="E12" i="4" s="1"/>
  <c r="F12" i="4" s="1"/>
  <c r="G12" i="4" s="1"/>
  <c r="H12" i="4" s="1"/>
  <c r="I12" i="4" s="1"/>
  <c r="J12" i="4" s="1"/>
  <c r="K12" i="4" s="1"/>
  <c r="L12" i="4" s="1"/>
  <c r="C7" i="16"/>
  <c r="E7" i="4"/>
  <c r="F7" i="4" s="1"/>
  <c r="G7" i="4" s="1"/>
  <c r="H7" i="4" s="1"/>
  <c r="I7" i="4" s="1"/>
  <c r="J7" i="4" s="1"/>
  <c r="K7" i="4" s="1"/>
  <c r="L7" i="4" s="1"/>
  <c r="J7" i="13"/>
  <c r="I7" i="13"/>
  <c r="K12" i="13"/>
  <c r="H7" i="13"/>
  <c r="J12" i="13"/>
  <c r="G7" i="13"/>
  <c r="I12" i="13"/>
  <c r="H12" i="13"/>
  <c r="G12" i="13"/>
  <c r="L15" i="9"/>
  <c r="L8" i="9"/>
  <c r="L25" i="6"/>
  <c r="J10" i="6"/>
  <c r="B7" i="16"/>
  <c r="C17" i="13"/>
  <c r="B15" i="12"/>
  <c r="B17" i="12" s="1"/>
  <c r="C15" i="12"/>
  <c r="C17" i="12" s="1"/>
  <c r="B8" i="12"/>
  <c r="C5" i="12"/>
  <c r="C8" i="12" s="1"/>
  <c r="C17" i="11"/>
  <c r="C9" i="11"/>
  <c r="B17" i="10"/>
  <c r="B9" i="10"/>
  <c r="B8" i="10"/>
  <c r="B16" i="10"/>
  <c r="B15" i="9"/>
  <c r="C15" i="9" s="1"/>
  <c r="D15" i="9" s="1"/>
  <c r="E15" i="9" s="1"/>
  <c r="B8" i="9"/>
  <c r="B13" i="9"/>
  <c r="B6" i="9"/>
  <c r="B17" i="8"/>
  <c r="B15" i="10" s="1"/>
  <c r="B8" i="8"/>
  <c r="B7" i="10" s="1"/>
  <c r="C18" i="7"/>
  <c r="C16" i="7"/>
  <c r="C9" i="7"/>
  <c r="C7" i="7"/>
  <c r="D7" i="7" s="1"/>
  <c r="E7" i="7" s="1"/>
  <c r="F7" i="7" s="1"/>
  <c r="G7" i="7" s="1"/>
  <c r="H7" i="7" s="1"/>
  <c r="C23" i="6"/>
  <c r="D23" i="6" s="1"/>
  <c r="E23" i="6" s="1"/>
  <c r="B28" i="6"/>
  <c r="B29" i="6" s="1"/>
  <c r="B14" i="9" s="1"/>
  <c r="B16" i="9" s="1"/>
  <c r="B15" i="11" s="1"/>
  <c r="C9" i="6"/>
  <c r="D9" i="6" s="1"/>
  <c r="E9" i="6" s="1"/>
  <c r="F9" i="6" s="1"/>
  <c r="G9" i="6" s="1"/>
  <c r="H9" i="6" s="1"/>
  <c r="I9" i="6" s="1"/>
  <c r="J9" i="6" s="1"/>
  <c r="K9" i="6" s="1"/>
  <c r="L9" i="6" s="1"/>
  <c r="B14" i="6"/>
  <c r="B15" i="6" s="1"/>
  <c r="B7" i="9" s="1"/>
  <c r="B20" i="5"/>
  <c r="C20" i="5" s="1"/>
  <c r="D20" i="5" s="1"/>
  <c r="E20" i="5" s="1"/>
  <c r="F20" i="5" s="1"/>
  <c r="G20" i="5" s="1"/>
  <c r="B11" i="5"/>
  <c r="C11" i="5" s="1"/>
  <c r="D11" i="5" s="1"/>
  <c r="E11" i="5" s="1"/>
  <c r="F11" i="5" s="1"/>
  <c r="G11" i="5" s="1"/>
  <c r="B18" i="5"/>
  <c r="C7" i="5"/>
  <c r="D7" i="5"/>
  <c r="E7" i="5"/>
  <c r="F7" i="5"/>
  <c r="G7" i="5"/>
  <c r="B7" i="5"/>
  <c r="B15" i="5"/>
  <c r="B20" i="6" s="1"/>
  <c r="B15" i="7" s="1"/>
  <c r="B15" i="8" s="1"/>
  <c r="B6" i="5"/>
  <c r="C12" i="2"/>
  <c r="C16" i="5"/>
  <c r="B11" i="3"/>
  <c r="C11" i="3" s="1"/>
  <c r="D18" i="5" s="1"/>
  <c r="B12" i="2"/>
  <c r="I7" i="7" l="1"/>
  <c r="K10" i="6"/>
  <c r="B21" i="6"/>
  <c r="B9" i="9"/>
  <c r="B7" i="11" s="1"/>
  <c r="B22" i="6"/>
  <c r="C8" i="9"/>
  <c r="D8" i="9" s="1"/>
  <c r="E8" i="9" s="1"/>
  <c r="F8" i="9" s="1"/>
  <c r="B8" i="5"/>
  <c r="B7" i="8" s="1"/>
  <c r="B6" i="6"/>
  <c r="B24" i="6"/>
  <c r="C24" i="6" s="1"/>
  <c r="D24" i="6" s="1"/>
  <c r="E24" i="6" s="1"/>
  <c r="F24" i="6" s="1"/>
  <c r="G24" i="6" s="1"/>
  <c r="B25" i="6"/>
  <c r="C25" i="6" s="1"/>
  <c r="D25" i="6" s="1"/>
  <c r="E25" i="6" s="1"/>
  <c r="F25" i="6" s="1"/>
  <c r="G25" i="6" s="1"/>
  <c r="C16" i="12"/>
  <c r="B16" i="12"/>
  <c r="F15" i="9"/>
  <c r="C10" i="7"/>
  <c r="C8" i="8" s="1"/>
  <c r="C7" i="10" s="1"/>
  <c r="C19" i="7"/>
  <c r="C17" i="8" s="1"/>
  <c r="C15" i="10" s="1"/>
  <c r="D16" i="7"/>
  <c r="F23" i="6"/>
  <c r="C11" i="4"/>
  <c r="C6" i="4"/>
  <c r="F16" i="5"/>
  <c r="E16" i="5"/>
  <c r="B16" i="5"/>
  <c r="B17" i="5" s="1"/>
  <c r="B16" i="8" s="1"/>
  <c r="G16" i="5"/>
  <c r="D16" i="5"/>
  <c r="C18" i="5"/>
  <c r="C6" i="16" s="1"/>
  <c r="B19" i="5"/>
  <c r="B18" i="8" s="1"/>
  <c r="B12" i="3"/>
  <c r="D11" i="3"/>
  <c r="J7" i="7" l="1"/>
  <c r="K7" i="7" s="1"/>
  <c r="L7" i="7" s="1"/>
  <c r="K12" i="3"/>
  <c r="C8" i="16"/>
  <c r="I12" i="3"/>
  <c r="G12" i="3"/>
  <c r="H12" i="3"/>
  <c r="J12" i="3"/>
  <c r="L10" i="6"/>
  <c r="B10" i="6"/>
  <c r="C10" i="6" s="1"/>
  <c r="D10" i="6" s="1"/>
  <c r="E10" i="6" s="1"/>
  <c r="F10" i="6" s="1"/>
  <c r="G10" i="6" s="1"/>
  <c r="B7" i="6"/>
  <c r="B8" i="6" s="1"/>
  <c r="B11" i="6" s="1"/>
  <c r="C11" i="6" s="1"/>
  <c r="D11" i="6" s="1"/>
  <c r="E11" i="6" s="1"/>
  <c r="F11" i="6" s="1"/>
  <c r="G11" i="6" s="1"/>
  <c r="B6" i="7"/>
  <c r="B6" i="8" s="1"/>
  <c r="B14" i="11"/>
  <c r="B16" i="11" s="1"/>
  <c r="B18" i="11" s="1"/>
  <c r="B19" i="8"/>
  <c r="B20" i="8" s="1"/>
  <c r="B14" i="10" s="1"/>
  <c r="B18" i="10" s="1"/>
  <c r="B11" i="13" s="1"/>
  <c r="E18" i="5"/>
  <c r="E7" i="13"/>
  <c r="F7" i="13"/>
  <c r="C7" i="13"/>
  <c r="D7" i="13"/>
  <c r="B7" i="13"/>
  <c r="E12" i="13"/>
  <c r="F12" i="13"/>
  <c r="D12" i="13"/>
  <c r="B12" i="13"/>
  <c r="C12" i="13"/>
  <c r="G15" i="9"/>
  <c r="G8" i="9"/>
  <c r="E16" i="7"/>
  <c r="G23" i="6"/>
  <c r="H23" i="6" s="1"/>
  <c r="I23" i="6" s="1"/>
  <c r="J23" i="6" s="1"/>
  <c r="K23" i="6" s="1"/>
  <c r="L23" i="6" s="1"/>
  <c r="D6" i="4"/>
  <c r="C6" i="5"/>
  <c r="D11" i="4"/>
  <c r="C15" i="5"/>
  <c r="E12" i="3"/>
  <c r="C12" i="3"/>
  <c r="C13" i="3" s="1"/>
  <c r="D17" i="11" s="1"/>
  <c r="D12" i="3"/>
  <c r="D13" i="3" s="1"/>
  <c r="E17" i="11" s="1"/>
  <c r="F12" i="3"/>
  <c r="E11" i="3"/>
  <c r="B13" i="13" l="1"/>
  <c r="F18" i="5"/>
  <c r="E13" i="3"/>
  <c r="F17" i="11" s="1"/>
  <c r="F16" i="7"/>
  <c r="E11" i="4"/>
  <c r="D15" i="5"/>
  <c r="C19" i="5"/>
  <c r="C18" i="8" s="1"/>
  <c r="C5" i="17" s="1"/>
  <c r="C17" i="5"/>
  <c r="C16" i="8" s="1"/>
  <c r="C20" i="6"/>
  <c r="C6" i="6"/>
  <c r="C8" i="5"/>
  <c r="C7" i="8" s="1"/>
  <c r="E6" i="4"/>
  <c r="D6" i="5"/>
  <c r="F11" i="3"/>
  <c r="F13" i="3" l="1"/>
  <c r="G17" i="11" s="1"/>
  <c r="G11" i="3"/>
  <c r="C11" i="17"/>
  <c r="C14" i="11"/>
  <c r="C19" i="8"/>
  <c r="C20" i="8" s="1"/>
  <c r="C14" i="10" s="1"/>
  <c r="C15" i="7"/>
  <c r="C27" i="6"/>
  <c r="C21" i="6"/>
  <c r="C22" i="6" s="1"/>
  <c r="C7" i="6"/>
  <c r="C8" i="6" s="1"/>
  <c r="C13" i="6"/>
  <c r="C6" i="7"/>
  <c r="G16" i="7"/>
  <c r="H16" i="7" s="1"/>
  <c r="D8" i="5"/>
  <c r="D7" i="8" s="1"/>
  <c r="D6" i="6"/>
  <c r="G18" i="5"/>
  <c r="D19" i="5"/>
  <c r="D18" i="8" s="1"/>
  <c r="D17" i="5"/>
  <c r="D16" i="8" s="1"/>
  <c r="D20" i="6"/>
  <c r="F6" i="4"/>
  <c r="E6" i="5"/>
  <c r="F11" i="4"/>
  <c r="E15" i="5"/>
  <c r="I16" i="7" l="1"/>
  <c r="J16" i="7" s="1"/>
  <c r="K16" i="7" s="1"/>
  <c r="L16" i="7" s="1"/>
  <c r="H11" i="3"/>
  <c r="H18" i="5"/>
  <c r="G13" i="3"/>
  <c r="H17" i="11" s="1"/>
  <c r="C28" i="6"/>
  <c r="C26" i="6"/>
  <c r="D21" i="6"/>
  <c r="D22" i="6" s="1"/>
  <c r="D15" i="7"/>
  <c r="D27" i="6"/>
  <c r="C15" i="8"/>
  <c r="C17" i="7"/>
  <c r="C6" i="8"/>
  <c r="C8" i="7"/>
  <c r="C14" i="6"/>
  <c r="C12" i="6"/>
  <c r="D13" i="6"/>
  <c r="D7" i="6"/>
  <c r="D8" i="6" s="1"/>
  <c r="D6" i="7"/>
  <c r="G11" i="4"/>
  <c r="F15" i="5"/>
  <c r="E8" i="5"/>
  <c r="E7" i="8" s="1"/>
  <c r="E6" i="6"/>
  <c r="E17" i="5"/>
  <c r="E16" i="8" s="1"/>
  <c r="E20" i="6"/>
  <c r="E19" i="5"/>
  <c r="E18" i="8" s="1"/>
  <c r="G6" i="4"/>
  <c r="F6" i="5"/>
  <c r="I11" i="3" l="1"/>
  <c r="H13" i="3"/>
  <c r="I17" i="11" s="1"/>
  <c r="I18" i="5"/>
  <c r="G15" i="5"/>
  <c r="G20" i="6" s="1"/>
  <c r="H11" i="4"/>
  <c r="G6" i="5"/>
  <c r="G8" i="5" s="1"/>
  <c r="G7" i="8" s="1"/>
  <c r="H6" i="4"/>
  <c r="C29" i="6"/>
  <c r="C14" i="9" s="1"/>
  <c r="C15" i="6"/>
  <c r="C16" i="6" s="1"/>
  <c r="E21" i="6"/>
  <c r="E22" i="6" s="1"/>
  <c r="E15" i="7"/>
  <c r="E27" i="6"/>
  <c r="D28" i="6"/>
  <c r="D26" i="6"/>
  <c r="C20" i="7"/>
  <c r="C7" i="17" s="1"/>
  <c r="C16" i="10"/>
  <c r="D15" i="8"/>
  <c r="D17" i="7"/>
  <c r="E13" i="6"/>
  <c r="E7" i="6"/>
  <c r="E8" i="6" s="1"/>
  <c r="E6" i="7"/>
  <c r="C11" i="7"/>
  <c r="B7" i="17" s="1"/>
  <c r="C8" i="10"/>
  <c r="D6" i="8"/>
  <c r="D8" i="7"/>
  <c r="D8" i="10" s="1"/>
  <c r="D12" i="6"/>
  <c r="D14" i="6"/>
  <c r="F8" i="5"/>
  <c r="F7" i="8" s="1"/>
  <c r="F6" i="6"/>
  <c r="F17" i="5"/>
  <c r="F16" i="8" s="1"/>
  <c r="F20" i="6"/>
  <c r="F19" i="5"/>
  <c r="F18" i="8" s="1"/>
  <c r="D7" i="17" l="1"/>
  <c r="G17" i="5"/>
  <c r="G16" i="8" s="1"/>
  <c r="G19" i="5"/>
  <c r="G18" i="8" s="1"/>
  <c r="G6" i="6"/>
  <c r="C30" i="6"/>
  <c r="C17" i="10"/>
  <c r="C18" i="10" s="1"/>
  <c r="C8" i="17"/>
  <c r="C9" i="10"/>
  <c r="B8" i="17"/>
  <c r="J11" i="3"/>
  <c r="I13" i="3"/>
  <c r="J17" i="11" s="1"/>
  <c r="J18" i="5"/>
  <c r="I11" i="4"/>
  <c r="H15" i="5"/>
  <c r="H20" i="6" s="1"/>
  <c r="I6" i="4"/>
  <c r="H6" i="5"/>
  <c r="H6" i="6" s="1"/>
  <c r="C7" i="9"/>
  <c r="D29" i="6"/>
  <c r="D30" i="6" s="1"/>
  <c r="D17" i="10" s="1"/>
  <c r="D15" i="6"/>
  <c r="D16" i="6" s="1"/>
  <c r="D9" i="10" s="1"/>
  <c r="D18" i="7"/>
  <c r="D19" i="7" s="1"/>
  <c r="C13" i="9"/>
  <c r="C16" i="9" s="1"/>
  <c r="C15" i="11" s="1"/>
  <c r="C16" i="11" s="1"/>
  <c r="D16" i="10"/>
  <c r="E28" i="6"/>
  <c r="E26" i="6"/>
  <c r="F15" i="7"/>
  <c r="F21" i="6"/>
  <c r="F22" i="6" s="1"/>
  <c r="F27" i="6"/>
  <c r="G21" i="6"/>
  <c r="G22" i="6" s="1"/>
  <c r="G15" i="7"/>
  <c r="G27" i="6"/>
  <c r="E15" i="8"/>
  <c r="E17" i="7"/>
  <c r="E12" i="6"/>
  <c r="E14" i="6"/>
  <c r="F6" i="7"/>
  <c r="F13" i="6"/>
  <c r="F7" i="6"/>
  <c r="F8" i="6" s="1"/>
  <c r="G6" i="7"/>
  <c r="G13" i="6"/>
  <c r="G7" i="6"/>
  <c r="G8" i="6" s="1"/>
  <c r="D9" i="7"/>
  <c r="C6" i="9"/>
  <c r="E8" i="7"/>
  <c r="E8" i="10" s="1"/>
  <c r="E6" i="8"/>
  <c r="B17" i="13"/>
  <c r="D8" i="17" l="1"/>
  <c r="C11" i="13"/>
  <c r="C6" i="17"/>
  <c r="H6" i="7"/>
  <c r="H7" i="6"/>
  <c r="H8" i="6" s="1"/>
  <c r="H13" i="6"/>
  <c r="K11" i="3"/>
  <c r="K18" i="5"/>
  <c r="J13" i="3"/>
  <c r="K17" i="11" s="1"/>
  <c r="C9" i="17"/>
  <c r="C10" i="17"/>
  <c r="H27" i="6"/>
  <c r="H21" i="6"/>
  <c r="H22" i="6" s="1"/>
  <c r="H15" i="7"/>
  <c r="C9" i="9"/>
  <c r="C7" i="11" s="1"/>
  <c r="D14" i="9"/>
  <c r="H17" i="5"/>
  <c r="H16" i="8" s="1"/>
  <c r="H19" i="5"/>
  <c r="H18" i="8" s="1"/>
  <c r="J11" i="4"/>
  <c r="I15" i="5"/>
  <c r="I20" i="6" s="1"/>
  <c r="H8" i="5"/>
  <c r="H7" i="8" s="1"/>
  <c r="J6" i="4"/>
  <c r="I6" i="5"/>
  <c r="I6" i="6" s="1"/>
  <c r="C18" i="11"/>
  <c r="C5" i="16"/>
  <c r="C13" i="13"/>
  <c r="D20" i="7"/>
  <c r="D13" i="9" s="1"/>
  <c r="D7" i="9"/>
  <c r="E15" i="6"/>
  <c r="E7" i="9" s="1"/>
  <c r="G28" i="6"/>
  <c r="G26" i="6"/>
  <c r="D17" i="8"/>
  <c r="G15" i="8"/>
  <c r="G17" i="7"/>
  <c r="G16" i="10" s="1"/>
  <c r="F28" i="6"/>
  <c r="F26" i="6"/>
  <c r="E16" i="10"/>
  <c r="F15" i="8"/>
  <c r="F17" i="7"/>
  <c r="E29" i="6"/>
  <c r="F14" i="6"/>
  <c r="F12" i="6"/>
  <c r="G14" i="6"/>
  <c r="G12" i="6"/>
  <c r="F8" i="7"/>
  <c r="F8" i="10" s="1"/>
  <c r="F6" i="8"/>
  <c r="D10" i="7"/>
  <c r="D11" i="7" s="1"/>
  <c r="G8" i="7"/>
  <c r="G8" i="10" s="1"/>
  <c r="G6" i="8"/>
  <c r="D16" i="9" l="1"/>
  <c r="D15" i="11" s="1"/>
  <c r="I15" i="7"/>
  <c r="I21" i="6"/>
  <c r="I22" i="6" s="1"/>
  <c r="I27" i="6"/>
  <c r="H28" i="6"/>
  <c r="H26" i="6"/>
  <c r="H12" i="6"/>
  <c r="H14" i="6"/>
  <c r="H15" i="8"/>
  <c r="H17" i="7"/>
  <c r="H16" i="10" s="1"/>
  <c r="H14" i="11"/>
  <c r="H19" i="8"/>
  <c r="H20" i="8" s="1"/>
  <c r="H14" i="10" s="1"/>
  <c r="H6" i="8"/>
  <c r="H8" i="7"/>
  <c r="H8" i="10" s="1"/>
  <c r="I7" i="6"/>
  <c r="I8" i="6" s="1"/>
  <c r="I6" i="7"/>
  <c r="I13" i="6"/>
  <c r="L18" i="5"/>
  <c r="K13" i="3"/>
  <c r="L17" i="11" s="1"/>
  <c r="K11" i="4"/>
  <c r="J15" i="5"/>
  <c r="J20" i="6" s="1"/>
  <c r="I17" i="5"/>
  <c r="I16" i="8" s="1"/>
  <c r="I19" i="5"/>
  <c r="I18" i="8" s="1"/>
  <c r="E18" i="7"/>
  <c r="E19" i="7" s="1"/>
  <c r="E17" i="8" s="1"/>
  <c r="I8" i="5"/>
  <c r="I7" i="8" s="1"/>
  <c r="K6" i="4"/>
  <c r="J6" i="5"/>
  <c r="J6" i="6" s="1"/>
  <c r="F29" i="6"/>
  <c r="F30" i="6" s="1"/>
  <c r="F17" i="10" s="1"/>
  <c r="G29" i="6"/>
  <c r="G14" i="9" s="1"/>
  <c r="F15" i="6"/>
  <c r="F16" i="6" s="1"/>
  <c r="F9" i="10" s="1"/>
  <c r="G15" i="6"/>
  <c r="G7" i="9" s="1"/>
  <c r="E16" i="6"/>
  <c r="E9" i="10" s="1"/>
  <c r="E30" i="6"/>
  <c r="E17" i="10" s="1"/>
  <c r="E14" i="9"/>
  <c r="F16" i="10"/>
  <c r="D15" i="10"/>
  <c r="E9" i="7"/>
  <c r="D6" i="9"/>
  <c r="D9" i="9" s="1"/>
  <c r="D7" i="11" s="1"/>
  <c r="D8" i="8"/>
  <c r="D7" i="10" s="1"/>
  <c r="H29" i="6" l="1"/>
  <c r="H15" i="6"/>
  <c r="H16" i="6" s="1"/>
  <c r="H9" i="10" s="1"/>
  <c r="G30" i="6"/>
  <c r="G17" i="10" s="1"/>
  <c r="H7" i="9"/>
  <c r="I12" i="6"/>
  <c r="I14" i="6"/>
  <c r="F14" i="9"/>
  <c r="J15" i="7"/>
  <c r="J21" i="6"/>
  <c r="J22" i="6" s="1"/>
  <c r="J27" i="6"/>
  <c r="H30" i="6"/>
  <c r="H17" i="10" s="1"/>
  <c r="H14" i="9"/>
  <c r="I14" i="11"/>
  <c r="I19" i="8"/>
  <c r="I20" i="8" s="1"/>
  <c r="I14" i="10" s="1"/>
  <c r="J6" i="7"/>
  <c r="J7" i="6"/>
  <c r="J8" i="6" s="1"/>
  <c r="J13" i="6"/>
  <c r="I28" i="6"/>
  <c r="I26" i="6"/>
  <c r="I29" i="6" s="1"/>
  <c r="I6" i="8"/>
  <c r="I8" i="7"/>
  <c r="I8" i="10" s="1"/>
  <c r="I17" i="7"/>
  <c r="I16" i="10" s="1"/>
  <c r="I15" i="8"/>
  <c r="L11" i="4"/>
  <c r="L15" i="5" s="1"/>
  <c r="L20" i="6" s="1"/>
  <c r="K15" i="5"/>
  <c r="K20" i="6" s="1"/>
  <c r="E20" i="7"/>
  <c r="F18" i="7" s="1"/>
  <c r="J17" i="5"/>
  <c r="J16" i="8" s="1"/>
  <c r="J19" i="5"/>
  <c r="J18" i="8" s="1"/>
  <c r="L6" i="4"/>
  <c r="L6" i="5" s="1"/>
  <c r="L6" i="6" s="1"/>
  <c r="K6" i="5"/>
  <c r="K6" i="6" s="1"/>
  <c r="J8" i="5"/>
  <c r="J7" i="8" s="1"/>
  <c r="F7" i="9"/>
  <c r="G16" i="6"/>
  <c r="G9" i="10" s="1"/>
  <c r="D14" i="11"/>
  <c r="D16" i="11" s="1"/>
  <c r="D19" i="8"/>
  <c r="D20" i="8" s="1"/>
  <c r="D14" i="10" s="1"/>
  <c r="D18" i="10" s="1"/>
  <c r="D11" i="13" s="1"/>
  <c r="E15" i="10"/>
  <c r="E10" i="7"/>
  <c r="E13" i="9" l="1"/>
  <c r="E16" i="9" s="1"/>
  <c r="E15" i="11" s="1"/>
  <c r="I15" i="6"/>
  <c r="I16" i="6" s="1"/>
  <c r="I9" i="10" s="1"/>
  <c r="J26" i="6"/>
  <c r="J28" i="6"/>
  <c r="J6" i="8"/>
  <c r="J8" i="7"/>
  <c r="J8" i="10" s="1"/>
  <c r="L7" i="6"/>
  <c r="L8" i="6" s="1"/>
  <c r="L6" i="7"/>
  <c r="L13" i="6"/>
  <c r="J14" i="11"/>
  <c r="J19" i="8"/>
  <c r="J20" i="8" s="1"/>
  <c r="J14" i="10" s="1"/>
  <c r="L21" i="6"/>
  <c r="L22" i="6" s="1"/>
  <c r="L15" i="7"/>
  <c r="L27" i="6"/>
  <c r="I7" i="9"/>
  <c r="K6" i="7"/>
  <c r="K7" i="6"/>
  <c r="K8" i="6" s="1"/>
  <c r="K13" i="6"/>
  <c r="J12" i="6"/>
  <c r="J14" i="6"/>
  <c r="J15" i="8"/>
  <c r="J17" i="7"/>
  <c r="J16" i="10" s="1"/>
  <c r="I30" i="6"/>
  <c r="I17" i="10" s="1"/>
  <c r="I14" i="9"/>
  <c r="K15" i="7"/>
  <c r="K21" i="6"/>
  <c r="K22" i="6" s="1"/>
  <c r="K27" i="6"/>
  <c r="K19" i="5"/>
  <c r="K18" i="8" s="1"/>
  <c r="K17" i="5"/>
  <c r="K16" i="8" s="1"/>
  <c r="L17" i="5"/>
  <c r="L16" i="8" s="1"/>
  <c r="L19" i="5"/>
  <c r="L18" i="8" s="1"/>
  <c r="K8" i="5"/>
  <c r="K7" i="8" s="1"/>
  <c r="L8" i="5"/>
  <c r="L7" i="8" s="1"/>
  <c r="D18" i="11"/>
  <c r="D13" i="13"/>
  <c r="E19" i="8"/>
  <c r="E20" i="8" s="1"/>
  <c r="E14" i="10" s="1"/>
  <c r="E18" i="10" s="1"/>
  <c r="E11" i="13" s="1"/>
  <c r="E13" i="13" s="1"/>
  <c r="E14" i="11"/>
  <c r="E16" i="11" s="1"/>
  <c r="E18" i="11" s="1"/>
  <c r="F19" i="7"/>
  <c r="E8" i="8"/>
  <c r="E7" i="10" s="1"/>
  <c r="E11" i="7"/>
  <c r="J15" i="6" l="1"/>
  <c r="J16" i="6" s="1"/>
  <c r="J9" i="10" s="1"/>
  <c r="L26" i="6"/>
  <c r="L28" i="6"/>
  <c r="K14" i="11"/>
  <c r="K19" i="8"/>
  <c r="K20" i="8" s="1"/>
  <c r="K14" i="10" s="1"/>
  <c r="L14" i="6"/>
  <c r="L12" i="6"/>
  <c r="L6" i="8"/>
  <c r="L8" i="7"/>
  <c r="L8" i="10" s="1"/>
  <c r="K28" i="6"/>
  <c r="K26" i="6"/>
  <c r="K29" i="6" s="1"/>
  <c r="K15" i="8"/>
  <c r="K17" i="7"/>
  <c r="K16" i="10" s="1"/>
  <c r="L15" i="8"/>
  <c r="L17" i="7"/>
  <c r="L16" i="10" s="1"/>
  <c r="K12" i="6"/>
  <c r="K14" i="6"/>
  <c r="K6" i="8"/>
  <c r="K8" i="7"/>
  <c r="K8" i="10" s="1"/>
  <c r="L19" i="8"/>
  <c r="L20" i="8" s="1"/>
  <c r="L14" i="10" s="1"/>
  <c r="L14" i="11"/>
  <c r="J29" i="6"/>
  <c r="F17" i="8"/>
  <c r="F20" i="7"/>
  <c r="F9" i="7"/>
  <c r="E6" i="9"/>
  <c r="E9" i="9" s="1"/>
  <c r="E7" i="11" s="1"/>
  <c r="J7" i="9" l="1"/>
  <c r="K15" i="6"/>
  <c r="L15" i="6"/>
  <c r="L7" i="9" s="1"/>
  <c r="L29" i="6"/>
  <c r="L30" i="6" s="1"/>
  <c r="L17" i="10" s="1"/>
  <c r="L16" i="6"/>
  <c r="L9" i="10" s="1"/>
  <c r="K16" i="6"/>
  <c r="K9" i="10" s="1"/>
  <c r="K7" i="9"/>
  <c r="K30" i="6"/>
  <c r="K17" i="10" s="1"/>
  <c r="K14" i="9"/>
  <c r="J30" i="6"/>
  <c r="J17" i="10" s="1"/>
  <c r="J14" i="9"/>
  <c r="G18" i="7"/>
  <c r="G19" i="7" s="1"/>
  <c r="F13" i="9"/>
  <c r="F16" i="9" s="1"/>
  <c r="F15" i="11" s="1"/>
  <c r="F15" i="10"/>
  <c r="F10" i="7"/>
  <c r="F8" i="8" s="1"/>
  <c r="F7" i="10" s="1"/>
  <c r="L14" i="9" l="1"/>
  <c r="F11" i="7"/>
  <c r="G9" i="7" s="1"/>
  <c r="G10" i="7" s="1"/>
  <c r="F14" i="11"/>
  <c r="F16" i="11" s="1"/>
  <c r="F19" i="8"/>
  <c r="F20" i="8" s="1"/>
  <c r="F14" i="10" s="1"/>
  <c r="F18" i="10" s="1"/>
  <c r="F11" i="13" s="1"/>
  <c r="G20" i="7"/>
  <c r="G17" i="8"/>
  <c r="G13" i="9" l="1"/>
  <c r="G16" i="9" s="1"/>
  <c r="G15" i="11" s="1"/>
  <c r="H18" i="7"/>
  <c r="F18" i="11"/>
  <c r="F6" i="9"/>
  <c r="F9" i="9" s="1"/>
  <c r="F7" i="11" s="1"/>
  <c r="G15" i="10"/>
  <c r="F13" i="13"/>
  <c r="G11" i="7"/>
  <c r="G8" i="8"/>
  <c r="G7" i="10" s="1"/>
  <c r="G6" i="9" l="1"/>
  <c r="G9" i="9" s="1"/>
  <c r="G7" i="11" s="1"/>
  <c r="H9" i="7"/>
  <c r="H10" i="7" s="1"/>
  <c r="H19" i="7"/>
  <c r="G14" i="11"/>
  <c r="G16" i="11" s="1"/>
  <c r="G19" i="8"/>
  <c r="G20" i="8" s="1"/>
  <c r="G14" i="10" s="1"/>
  <c r="G18" i="10" s="1"/>
  <c r="G11" i="13" s="1"/>
  <c r="G13" i="13" s="1"/>
  <c r="B9" i="5"/>
  <c r="B10" i="5" s="1"/>
  <c r="B9" i="8" s="1"/>
  <c r="H17" i="8" l="1"/>
  <c r="H15" i="10" s="1"/>
  <c r="H18" i="10" s="1"/>
  <c r="H11" i="13" s="1"/>
  <c r="H13" i="13" s="1"/>
  <c r="H20" i="7"/>
  <c r="H11" i="7"/>
  <c r="H8" i="8"/>
  <c r="H7" i="10" s="1"/>
  <c r="G18" i="11"/>
  <c r="B6" i="3"/>
  <c r="C9" i="5" s="1"/>
  <c r="B6" i="11"/>
  <c r="B8" i="11" s="1"/>
  <c r="B10" i="11" s="1"/>
  <c r="B10" i="8"/>
  <c r="B11" i="8" s="1"/>
  <c r="B6" i="10" s="1"/>
  <c r="B10" i="10" s="1"/>
  <c r="B6" i="13" s="1"/>
  <c r="B8" i="13" l="1"/>
  <c r="C10" i="5"/>
  <c r="C9" i="8" s="1"/>
  <c r="B5" i="17" s="1"/>
  <c r="D5" i="17" s="1"/>
  <c r="B6" i="16"/>
  <c r="I18" i="7"/>
  <c r="H13" i="9"/>
  <c r="H16" i="9" s="1"/>
  <c r="H15" i="11" s="1"/>
  <c r="H16" i="11" s="1"/>
  <c r="H18" i="11" s="1"/>
  <c r="I9" i="7"/>
  <c r="H6" i="9"/>
  <c r="H9" i="9" s="1"/>
  <c r="H7" i="11" s="1"/>
  <c r="B11" i="17"/>
  <c r="D11" i="17" s="1"/>
  <c r="B7" i="3"/>
  <c r="C6" i="3"/>
  <c r="C6" i="11" l="1"/>
  <c r="C8" i="11" s="1"/>
  <c r="I10" i="7"/>
  <c r="C10" i="8"/>
  <c r="C11" i="8" s="1"/>
  <c r="C6" i="10" s="1"/>
  <c r="C10" i="10" s="1"/>
  <c r="I19" i="7"/>
  <c r="I20" i="7" s="1"/>
  <c r="K7" i="3"/>
  <c r="B8" i="16"/>
  <c r="G7" i="3"/>
  <c r="H7" i="3"/>
  <c r="I7" i="3"/>
  <c r="J7" i="3"/>
  <c r="F7" i="3"/>
  <c r="D7" i="3"/>
  <c r="E7" i="3"/>
  <c r="C7" i="3"/>
  <c r="C8" i="3" s="1"/>
  <c r="D9" i="11" s="1"/>
  <c r="D9" i="5"/>
  <c r="D10" i="5" s="1"/>
  <c r="D9" i="8" s="1"/>
  <c r="D6" i="3"/>
  <c r="J18" i="7" l="1"/>
  <c r="I13" i="9"/>
  <c r="I16" i="9" s="1"/>
  <c r="I15" i="11" s="1"/>
  <c r="I16" i="11" s="1"/>
  <c r="I18" i="11" s="1"/>
  <c r="I8" i="8"/>
  <c r="I7" i="10" s="1"/>
  <c r="I17" i="8"/>
  <c r="I15" i="10" s="1"/>
  <c r="I18" i="10" s="1"/>
  <c r="I11" i="13" s="1"/>
  <c r="I13" i="13" s="1"/>
  <c r="J19" i="7"/>
  <c r="C6" i="13"/>
  <c r="B6" i="17"/>
  <c r="D6" i="17" s="1"/>
  <c r="I11" i="7"/>
  <c r="C10" i="11"/>
  <c r="B9" i="17"/>
  <c r="D9" i="17" s="1"/>
  <c r="B5" i="16"/>
  <c r="B10" i="17"/>
  <c r="D10" i="17" s="1"/>
  <c r="E6" i="3"/>
  <c r="D8" i="3"/>
  <c r="E9" i="11" s="1"/>
  <c r="E9" i="5"/>
  <c r="E10" i="5" s="1"/>
  <c r="E9" i="8" s="1"/>
  <c r="D10" i="8"/>
  <c r="D11" i="8" s="1"/>
  <c r="D6" i="10" s="1"/>
  <c r="D10" i="10" s="1"/>
  <c r="D6" i="13" s="1"/>
  <c r="D6" i="11"/>
  <c r="D8" i="11" s="1"/>
  <c r="C8" i="13" l="1"/>
  <c r="J17" i="8"/>
  <c r="J15" i="10" s="1"/>
  <c r="J18" i="10" s="1"/>
  <c r="J11" i="13" s="1"/>
  <c r="J13" i="13" s="1"/>
  <c r="J9" i="7"/>
  <c r="I6" i="9"/>
  <c r="I9" i="9" s="1"/>
  <c r="I7" i="11" s="1"/>
  <c r="J20" i="7"/>
  <c r="D10" i="11"/>
  <c r="D8" i="13"/>
  <c r="E6" i="11"/>
  <c r="E8" i="11" s="1"/>
  <c r="E10" i="8"/>
  <c r="E11" i="8" s="1"/>
  <c r="E6" i="10" s="1"/>
  <c r="E10" i="10" s="1"/>
  <c r="E6" i="13" s="1"/>
  <c r="E8" i="13" s="1"/>
  <c r="E8" i="3"/>
  <c r="F9" i="11" s="1"/>
  <c r="F6" i="3"/>
  <c r="G6" i="3" s="1"/>
  <c r="F9" i="5"/>
  <c r="F10" i="5" s="1"/>
  <c r="F9" i="8" s="1"/>
  <c r="H6" i="3" l="1"/>
  <c r="H9" i="5"/>
  <c r="H10" i="5" s="1"/>
  <c r="H9" i="8" s="1"/>
  <c r="G8" i="3"/>
  <c r="H9" i="11" s="1"/>
  <c r="J10" i="7"/>
  <c r="K18" i="7"/>
  <c r="J13" i="9"/>
  <c r="J16" i="9" s="1"/>
  <c r="J15" i="11" s="1"/>
  <c r="J16" i="11" s="1"/>
  <c r="J18" i="11" s="1"/>
  <c r="E10" i="11"/>
  <c r="F10" i="8"/>
  <c r="F11" i="8" s="1"/>
  <c r="F6" i="10" s="1"/>
  <c r="F10" i="10" s="1"/>
  <c r="F6" i="13" s="1"/>
  <c r="F6" i="11"/>
  <c r="F8" i="11" s="1"/>
  <c r="F10" i="11" s="1"/>
  <c r="G9" i="5"/>
  <c r="G10" i="5" s="1"/>
  <c r="G9" i="8" s="1"/>
  <c r="F8" i="3"/>
  <c r="G9" i="11" s="1"/>
  <c r="J8" i="8" l="1"/>
  <c r="J7" i="10" s="1"/>
  <c r="J11" i="7"/>
  <c r="K19" i="7"/>
  <c r="K20" i="7" s="1"/>
  <c r="H6" i="11"/>
  <c r="H8" i="11" s="1"/>
  <c r="H10" i="11" s="1"/>
  <c r="H10" i="8"/>
  <c r="H11" i="8" s="1"/>
  <c r="H6" i="10" s="1"/>
  <c r="H10" i="10" s="1"/>
  <c r="H6" i="13" s="1"/>
  <c r="H8" i="13" s="1"/>
  <c r="I6" i="3"/>
  <c r="H8" i="3"/>
  <c r="I9" i="11" s="1"/>
  <c r="I9" i="5"/>
  <c r="I10" i="5" s="1"/>
  <c r="I9" i="8" s="1"/>
  <c r="F8" i="13"/>
  <c r="G10" i="8"/>
  <c r="G11" i="8" s="1"/>
  <c r="G6" i="10" s="1"/>
  <c r="G10" i="10" s="1"/>
  <c r="G6" i="13" s="1"/>
  <c r="G8" i="13" s="1"/>
  <c r="G6" i="11"/>
  <c r="G8" i="11" s="1"/>
  <c r="G10" i="11" s="1"/>
  <c r="L18" i="7" l="1"/>
  <c r="K13" i="9"/>
  <c r="K16" i="9" s="1"/>
  <c r="K15" i="11" s="1"/>
  <c r="K16" i="11" s="1"/>
  <c r="K18" i="11" s="1"/>
  <c r="K9" i="7"/>
  <c r="J6" i="9"/>
  <c r="J9" i="9" s="1"/>
  <c r="J7" i="11" s="1"/>
  <c r="K17" i="8"/>
  <c r="K15" i="10" s="1"/>
  <c r="K18" i="10" s="1"/>
  <c r="K11" i="13" s="1"/>
  <c r="C27" i="16" s="1" a="1"/>
  <c r="C27" i="16" s="1"/>
  <c r="L19" i="7"/>
  <c r="I10" i="8"/>
  <c r="I11" i="8" s="1"/>
  <c r="I6" i="10" s="1"/>
  <c r="I10" i="10" s="1"/>
  <c r="I6" i="13" s="1"/>
  <c r="I8" i="13" s="1"/>
  <c r="I6" i="11"/>
  <c r="I8" i="11" s="1"/>
  <c r="I10" i="11" s="1"/>
  <c r="J6" i="3"/>
  <c r="I8" i="3"/>
  <c r="J9" i="11" s="1"/>
  <c r="J9" i="5"/>
  <c r="J10" i="5" s="1"/>
  <c r="J9" i="8" s="1"/>
  <c r="K10" i="7" l="1"/>
  <c r="K11" i="7" s="1"/>
  <c r="L20" i="7"/>
  <c r="L13" i="9" s="1"/>
  <c r="L16" i="9" s="1"/>
  <c r="L15" i="11" s="1"/>
  <c r="L16" i="11" s="1"/>
  <c r="L17" i="8"/>
  <c r="L15" i="10" s="1"/>
  <c r="L18" i="10" s="1"/>
  <c r="J10" i="8"/>
  <c r="J11" i="8" s="1"/>
  <c r="J6" i="10" s="1"/>
  <c r="J10" i="10" s="1"/>
  <c r="J6" i="13" s="1"/>
  <c r="J8" i="13" s="1"/>
  <c r="J6" i="11"/>
  <c r="J8" i="11" s="1"/>
  <c r="C18" i="13"/>
  <c r="C19" i="13" s="1"/>
  <c r="K13" i="13"/>
  <c r="C20" i="13" s="1"/>
  <c r="K6" i="3"/>
  <c r="K9" i="5"/>
  <c r="K10" i="5" s="1"/>
  <c r="K9" i="8" s="1"/>
  <c r="J8" i="3"/>
  <c r="K9" i="11" s="1"/>
  <c r="L18" i="11" l="1"/>
  <c r="B27" i="16" a="1"/>
  <c r="B27" i="16" s="1"/>
  <c r="K10" i="8"/>
  <c r="K11" i="8" s="1"/>
  <c r="K6" i="10" s="1"/>
  <c r="K6" i="11"/>
  <c r="L9" i="5"/>
  <c r="L10" i="5" s="1"/>
  <c r="L9" i="8" s="1"/>
  <c r="K8" i="3"/>
  <c r="L9" i="11" s="1"/>
  <c r="K8" i="8"/>
  <c r="K7" i="10" s="1"/>
  <c r="J10" i="11"/>
  <c r="L9" i="7"/>
  <c r="L10" i="7" s="1"/>
  <c r="K6" i="9"/>
  <c r="K9" i="9" s="1"/>
  <c r="K7" i="11" s="1"/>
  <c r="C21" i="13"/>
  <c r="L10" i="8" l="1"/>
  <c r="L11" i="8" s="1"/>
  <c r="L6" i="10" s="1"/>
  <c r="L6" i="11"/>
  <c r="L11" i="7"/>
  <c r="L6" i="9" s="1"/>
  <c r="L9" i="9" s="1"/>
  <c r="L7" i="11" s="1"/>
  <c r="L8" i="8"/>
  <c r="L7" i="10" s="1"/>
  <c r="K8" i="11"/>
  <c r="K10" i="11" s="1"/>
  <c r="K10" i="10"/>
  <c r="K6" i="13" s="1"/>
  <c r="C12" i="17"/>
  <c r="C23" i="13"/>
  <c r="J5" i="16"/>
  <c r="K8" i="13" l="1"/>
  <c r="B20" i="13" s="1"/>
  <c r="B18" i="13"/>
  <c r="C14" i="16" a="1"/>
  <c r="C14" i="16" s="1"/>
  <c r="L8" i="11"/>
  <c r="L10" i="10"/>
  <c r="C13" i="17"/>
  <c r="J6" i="16"/>
  <c r="C25" i="13"/>
  <c r="A13" i="14" l="1"/>
  <c r="J7" i="16"/>
  <c r="J9" i="16" s="1"/>
  <c r="L10" i="11"/>
  <c r="B14" i="16" a="1"/>
  <c r="B14" i="16" s="1"/>
  <c r="B19" i="13"/>
  <c r="B21" i="13" l="1"/>
  <c r="B12" i="17"/>
  <c r="D12" i="17" s="1"/>
  <c r="B23" i="13" l="1"/>
  <c r="I5" i="16"/>
  <c r="B13" i="17" l="1"/>
  <c r="D13" i="17" s="1"/>
  <c r="B25" i="13"/>
  <c r="I6" i="16"/>
  <c r="I7" i="16" l="1"/>
  <c r="I9" i="16" s="1"/>
  <c r="A3" i="14"/>
  <c r="B14" i="17"/>
  <c r="C14" i="17"/>
  <c r="D14" i="1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9"/>
        </ext>
      </extLst>
    </bk>
  </futureMetadata>
  <futureMetadata name="XLDAPR" count="1">
    <bk>
      <extLst>
        <ext uri="{bdbb8cdc-fa1e-496e-a857-3c3f30c029c3}">
          <xda:dynamicArrayProperties fDynamic="1" fCollapsed="0"/>
        </ext>
      </extLst>
    </bk>
  </futureMetadata>
  <cellMetadata count="1">
    <bk>
      <rc t="2" v="0"/>
    </bk>
  </cellMetadata>
  <valueMetadata count="4">
    <bk>
      <rc t="1" v="0"/>
    </bk>
    <bk>
      <rc t="1" v="1"/>
    </bk>
    <bk>
      <rc t="1" v="2"/>
    </bk>
    <bk>
      <rc t="1" v="3"/>
    </bk>
  </valueMetadata>
</metadata>
</file>

<file path=xl/sharedStrings.xml><?xml version="1.0" encoding="utf-8"?>
<sst xmlns="http://schemas.openxmlformats.org/spreadsheetml/2006/main" count="381" uniqueCount="150">
  <si>
    <t>FMCG ROCE Compounding Model</t>
  </si>
  <si>
    <t>Company A</t>
  </si>
  <si>
    <t>Company B</t>
  </si>
  <si>
    <t>Base Year</t>
  </si>
  <si>
    <t>Forecast Start</t>
  </si>
  <si>
    <t>Forecast End</t>
  </si>
  <si>
    <t>Currency</t>
  </si>
  <si>
    <t>Model Purpose</t>
  </si>
  <si>
    <t>Scenario</t>
  </si>
  <si>
    <t>INR Crores</t>
  </si>
  <si>
    <t>ROCE-driven compounding &amp; valuation framework</t>
  </si>
  <si>
    <t>Scenario Index</t>
  </si>
  <si>
    <t>Base</t>
  </si>
  <si>
    <t>Key Assumptions (FY2026-FY2030)</t>
  </si>
  <si>
    <t>HUL</t>
  </si>
  <si>
    <t>ITC</t>
  </si>
  <si>
    <t>Revenue Growth (%)</t>
  </si>
  <si>
    <t>Long-term EBITDA Margin (%)</t>
  </si>
  <si>
    <t>EBIT Margin (%)</t>
  </si>
  <si>
    <t>Effective Tax Rate (%)</t>
  </si>
  <si>
    <t>Dividend Payout (%)</t>
  </si>
  <si>
    <t>Retention Ratio (%)</t>
  </si>
  <si>
    <t>Terminal Growth Rate (%)</t>
  </si>
  <si>
    <t>ROCE Drivers (FY2026-FY2030)</t>
  </si>
  <si>
    <t>Capital Turnover (x)</t>
  </si>
  <si>
    <t>ROCE (%)</t>
  </si>
  <si>
    <t>FY2026</t>
  </si>
  <si>
    <t>FY2027</t>
  </si>
  <si>
    <t>FY2028</t>
  </si>
  <si>
    <t>FY2029</t>
  </si>
  <si>
    <t>FY2030</t>
  </si>
  <si>
    <t>Revenue Drivers</t>
  </si>
  <si>
    <t>Revenue</t>
  </si>
  <si>
    <t>YoY Growth (%)</t>
  </si>
  <si>
    <t>FY2026F</t>
  </si>
  <si>
    <t>FY2027F</t>
  </si>
  <si>
    <t>FY2028F</t>
  </si>
  <si>
    <t>FY2029F</t>
  </si>
  <si>
    <t>FY2030F</t>
  </si>
  <si>
    <t>FY2025A</t>
  </si>
  <si>
    <t>Operating Margins</t>
  </si>
  <si>
    <t>EBITDA Margin (%)</t>
  </si>
  <si>
    <t>EBITDA</t>
  </si>
  <si>
    <t>EBIT</t>
  </si>
  <si>
    <t>Working Capital</t>
  </si>
  <si>
    <t>Inventory Days</t>
  </si>
  <si>
    <t>Receivable Days</t>
  </si>
  <si>
    <t>Payable Days</t>
  </si>
  <si>
    <t>Inventory</t>
  </si>
  <si>
    <t>Receivables</t>
  </si>
  <si>
    <t>Payables</t>
  </si>
  <si>
    <t>Net Working Capital</t>
  </si>
  <si>
    <t>Change in WC</t>
  </si>
  <si>
    <t>COGS</t>
  </si>
  <si>
    <t>Gross Profit</t>
  </si>
  <si>
    <t>Gross Margin (%)</t>
  </si>
  <si>
    <t>Capex &amp; Depreciation</t>
  </si>
  <si>
    <t>Capex % of revenue</t>
  </si>
  <si>
    <t>Opening Net PPE</t>
  </si>
  <si>
    <t>Depreciation</t>
  </si>
  <si>
    <t>Closing Net PPE</t>
  </si>
  <si>
    <t>Capex</t>
  </si>
  <si>
    <t>Income Statement</t>
  </si>
  <si>
    <t xml:space="preserve">Tax </t>
  </si>
  <si>
    <t>NOPAT</t>
  </si>
  <si>
    <t>Balance Sheet (ROCE Focus)</t>
  </si>
  <si>
    <t>Net PPE</t>
  </si>
  <si>
    <t>Capital Employed</t>
  </si>
  <si>
    <t>Other Operating Assets</t>
  </si>
  <si>
    <t>Free Cash Flow to Firm</t>
  </si>
  <si>
    <t>Change in NWC</t>
  </si>
  <si>
    <t>FCFF</t>
  </si>
  <si>
    <t>ROCE Analysis</t>
  </si>
  <si>
    <t>ROCE</t>
  </si>
  <si>
    <t>ROCE (Drivers)</t>
  </si>
  <si>
    <t>Difference</t>
  </si>
  <si>
    <t>WACC Assumptions</t>
  </si>
  <si>
    <t>Equity Risk Premium</t>
  </si>
  <si>
    <t>Beta</t>
  </si>
  <si>
    <t>Cost of Equity</t>
  </si>
  <si>
    <t>Pre-tax Cost of Debt</t>
  </si>
  <si>
    <t>After-tax Cost of Debt</t>
  </si>
  <si>
    <t>Market Value of Equity</t>
  </si>
  <si>
    <t>Market Value of Debt</t>
  </si>
  <si>
    <t>Total Capital</t>
  </si>
  <si>
    <t>Equity weight</t>
  </si>
  <si>
    <t>Debt weight</t>
  </si>
  <si>
    <t>WACC</t>
  </si>
  <si>
    <t>DCF Valuation</t>
  </si>
  <si>
    <t>Discount Factor</t>
  </si>
  <si>
    <t>PV of FCFF</t>
  </si>
  <si>
    <t>Terminal Growth</t>
  </si>
  <si>
    <t>Terminal Value</t>
  </si>
  <si>
    <t>PV of Terminal Value</t>
  </si>
  <si>
    <t>Enterprise Value</t>
  </si>
  <si>
    <t>Net Debt</t>
  </si>
  <si>
    <t>Equity Value</t>
  </si>
  <si>
    <t>Shares Outstanding</t>
  </si>
  <si>
    <t>Intrinsic Value per share</t>
  </si>
  <si>
    <t>Sensitivity - HUL (Intrinsic Value per Share)</t>
  </si>
  <si>
    <t>Terminal g</t>
  </si>
  <si>
    <t>Sensitivity - ITC (Intrinsic Value per Share)</t>
  </si>
  <si>
    <t>Stress Test - Intrinsic Value per Share</t>
  </si>
  <si>
    <t>Upside</t>
  </si>
  <si>
    <t>EBIT Margin</t>
  </si>
  <si>
    <t>Rev Gr</t>
  </si>
  <si>
    <t>EBIT M</t>
  </si>
  <si>
    <t>Capex %</t>
  </si>
  <si>
    <t>Inv Days</t>
  </si>
  <si>
    <t xml:space="preserve">Mild </t>
  </si>
  <si>
    <t>Severe</t>
  </si>
  <si>
    <t>Growth</t>
  </si>
  <si>
    <t>FMCG ROCE Compounding Dashboard</t>
  </si>
  <si>
    <t>Revenue Growth</t>
  </si>
  <si>
    <t>Capital Turnover</t>
  </si>
  <si>
    <t>HUL-Business Snapshot</t>
  </si>
  <si>
    <t>HUL Trends</t>
  </si>
  <si>
    <t>Year</t>
  </si>
  <si>
    <t>ITC Trends</t>
  </si>
  <si>
    <t>Valuation Summary</t>
  </si>
  <si>
    <t>Intrinsic Value/Share</t>
  </si>
  <si>
    <t>Current Market Price</t>
  </si>
  <si>
    <t>Upside/Downside</t>
  </si>
  <si>
    <r>
      <t>"</t>
    </r>
    <r>
      <rPr>
        <i/>
        <sz val="11"/>
        <color theme="6" tint="-0.249977111117893"/>
        <rFont val="Calibri"/>
        <family val="2"/>
        <scheme val="minor"/>
      </rPr>
      <t>All figures in INR Cr unless stated. Scenario-driven forecasts."</t>
    </r>
  </si>
  <si>
    <t>Model Checks - FMCG ROCE Compounding Model</t>
  </si>
  <si>
    <t>Check Category</t>
  </si>
  <si>
    <t>Status</t>
  </si>
  <si>
    <t>EBIT Reconcilliation</t>
  </si>
  <si>
    <t>FCFF Consistency</t>
  </si>
  <si>
    <t>PPE Roll-forward</t>
  </si>
  <si>
    <t>Working Capital Flow</t>
  </si>
  <si>
    <t>ROCE Sanity</t>
  </si>
  <si>
    <t>Growth vs Reinvestment</t>
  </si>
  <si>
    <t>DCF Discounting</t>
  </si>
  <si>
    <t>Terminal Value Share</t>
  </si>
  <si>
    <t>Equity Bridge</t>
  </si>
  <si>
    <t>No Circulars / Errors</t>
  </si>
  <si>
    <t>FY2031</t>
  </si>
  <si>
    <t>FY2032</t>
  </si>
  <si>
    <t>FY2033</t>
  </si>
  <si>
    <t>FY2034</t>
  </si>
  <si>
    <t>FY2035</t>
  </si>
  <si>
    <t>FY2031F</t>
  </si>
  <si>
    <t>FY2032F</t>
  </si>
  <si>
    <t>FY2033F</t>
  </si>
  <si>
    <t>FY2034F</t>
  </si>
  <si>
    <t>FY2035F</t>
  </si>
  <si>
    <t>Intrinsic Value</t>
  </si>
  <si>
    <t>HUL Stress Test - Intrinsic Value per Share</t>
  </si>
  <si>
    <t>ITC Stress Test - Intrinsic Value per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</si>
</sst>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0.0"/>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1"/>
      <color theme="8"/>
      <name val="Calibri"/>
      <family val="2"/>
      <scheme val="minor"/>
    </font>
    <font>
      <sz val="11"/>
      <color theme="1" tint="0.249977111117893"/>
      <name val="Calibri"/>
      <family val="2"/>
      <scheme val="minor"/>
    </font>
    <font>
      <b/>
      <sz val="11"/>
      <color theme="1" tint="0.249977111117893"/>
      <name val="Calibri"/>
      <family val="2"/>
      <scheme val="minor"/>
    </font>
    <font>
      <sz val="8"/>
      <name val="Calibri"/>
      <family val="2"/>
      <scheme val="minor"/>
    </font>
    <font>
      <sz val="11"/>
      <color rgb="FF009C31"/>
      <name val="Calibri"/>
      <family val="2"/>
      <scheme val="minor"/>
    </font>
    <font>
      <b/>
      <sz val="11"/>
      <color theme="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8"/>
      <color theme="1"/>
      <name val="Calibri"/>
      <family val="2"/>
      <scheme val="minor"/>
    </font>
    <font>
      <sz val="12"/>
      <color rgb="FF002060"/>
      <name val="Calibri"/>
      <family val="2"/>
      <scheme val="minor"/>
    </font>
    <font>
      <sz val="11"/>
      <color theme="6" tint="-0.249977111117893"/>
      <name val="Calibri"/>
      <family val="2"/>
      <scheme val="minor"/>
    </font>
    <font>
      <i/>
      <sz val="11"/>
      <color theme="6" tint="-0.249977111117893"/>
      <name val="Calibri"/>
      <family val="2"/>
      <scheme val="minor"/>
    </font>
    <font>
      <sz val="14"/>
      <color rgb="FF002060"/>
      <name val="Calibri"/>
      <family val="2"/>
      <scheme val="minor"/>
    </font>
    <font>
      <b/>
      <sz val="24"/>
      <color theme="1"/>
      <name val="Aharoni"/>
      <charset val="177"/>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6"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6" tint="-0.249977111117893"/>
      </left>
      <right style="thin">
        <color theme="6" tint="-0.249977111117893"/>
      </right>
      <top style="thin">
        <color theme="6" tint="-0.249977111117893"/>
      </top>
      <bottom style="thin">
        <color theme="6" tint="-0.249977111117893"/>
      </bottom>
      <diagonal/>
    </border>
    <border>
      <left style="thin">
        <color theme="6" tint="-0.249977111117893"/>
      </left>
      <right/>
      <top style="thin">
        <color theme="6" tint="-0.249977111117893"/>
      </top>
      <bottom style="thin">
        <color theme="6" tint="-0.249977111117893"/>
      </bottom>
      <diagonal/>
    </border>
    <border>
      <left/>
      <right style="thin">
        <color theme="6" tint="-0.249977111117893"/>
      </right>
      <top style="thin">
        <color theme="6" tint="-0.249977111117893"/>
      </top>
      <bottom style="thin">
        <color theme="6" tint="-0.249977111117893"/>
      </bottom>
      <diagonal/>
    </border>
    <border>
      <left style="thin">
        <color theme="6" tint="-0.249977111117893"/>
      </left>
      <right/>
      <top style="thin">
        <color theme="6" tint="-0.249977111117893"/>
      </top>
      <bottom/>
      <diagonal/>
    </border>
    <border>
      <left/>
      <right style="thin">
        <color theme="6" tint="-0.249977111117893"/>
      </right>
      <top style="thin">
        <color theme="6" tint="-0.249977111117893"/>
      </top>
      <bottom/>
      <diagonal/>
    </border>
    <border>
      <left style="thin">
        <color theme="6" tint="-0.249977111117893"/>
      </left>
      <right/>
      <top/>
      <bottom/>
      <diagonal/>
    </border>
    <border>
      <left/>
      <right style="thin">
        <color theme="6" tint="-0.249977111117893"/>
      </right>
      <top/>
      <bottom/>
      <diagonal/>
    </border>
    <border>
      <left style="thin">
        <color theme="6" tint="-0.249977111117893"/>
      </left>
      <right/>
      <top/>
      <bottom style="thin">
        <color theme="6" tint="-0.249977111117893"/>
      </bottom>
      <diagonal/>
    </border>
    <border>
      <left/>
      <right style="thin">
        <color theme="6" tint="-0.249977111117893"/>
      </right>
      <top/>
      <bottom style="thin">
        <color theme="6" tint="-0.249977111117893"/>
      </bottom>
      <diagonal/>
    </border>
    <border>
      <left/>
      <right/>
      <top style="thin">
        <color theme="6" tint="-0.249977111117893"/>
      </top>
      <bottom/>
      <diagonal/>
    </border>
    <border>
      <left style="thin">
        <color theme="6" tint="-0.249977111117893"/>
      </left>
      <right style="thin">
        <color theme="6" tint="-0.249977111117893"/>
      </right>
      <top style="thin">
        <color theme="6" tint="-0.249977111117893"/>
      </top>
      <bottom/>
      <diagonal/>
    </border>
    <border>
      <left/>
      <right/>
      <top style="thin">
        <color theme="6" tint="-0.249977111117893"/>
      </top>
      <bottom style="thin">
        <color theme="6" tint="-0.24997711111789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7">
    <xf numFmtId="0" fontId="0" fillId="0" borderId="0" xfId="0"/>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xf>
    <xf numFmtId="0" fontId="4" fillId="0" borderId="1" xfId="0" applyFont="1" applyBorder="1" applyAlignment="1">
      <alignment vertical="center"/>
    </xf>
    <xf numFmtId="0" fontId="3" fillId="0" borderId="1" xfId="0" applyFont="1" applyBorder="1" applyAlignment="1">
      <alignment horizontal="left" vertical="center"/>
    </xf>
    <xf numFmtId="0" fontId="0" fillId="0" borderId="1" xfId="0" applyBorder="1" applyAlignment="1">
      <alignment vertical="center"/>
    </xf>
    <xf numFmtId="0" fontId="2" fillId="0" borderId="1" xfId="0" applyFont="1" applyBorder="1" applyAlignment="1">
      <alignment horizontal="left" vertical="center"/>
    </xf>
    <xf numFmtId="0" fontId="0" fillId="0" borderId="0" xfId="0" applyAlignment="1">
      <alignment horizontal="center" vertical="center"/>
    </xf>
    <xf numFmtId="0" fontId="3" fillId="0" borderId="0" xfId="0" applyFont="1" applyAlignment="1">
      <alignment horizontal="center" vertical="center"/>
    </xf>
    <xf numFmtId="164" fontId="3" fillId="0" borderId="0" xfId="2" applyNumberFormat="1" applyFont="1" applyAlignment="1">
      <alignment horizontal="center" vertical="center"/>
    </xf>
    <xf numFmtId="0" fontId="5"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2" fontId="3" fillId="0" borderId="1" xfId="1" applyNumberFormat="1" applyFont="1" applyBorder="1" applyAlignment="1">
      <alignment horizontal="center" vertical="center"/>
    </xf>
    <xf numFmtId="43" fontId="0" fillId="0" borderId="1" xfId="1" applyFont="1" applyBorder="1" applyAlignment="1">
      <alignment horizontal="center" vertical="center"/>
    </xf>
    <xf numFmtId="164" fontId="7" fillId="0" borderId="1" xfId="2" applyNumberFormat="1" applyFont="1" applyBorder="1" applyAlignment="1">
      <alignment horizontal="center" vertical="center"/>
    </xf>
    <xf numFmtId="164" fontId="0" fillId="0" borderId="1" xfId="0" applyNumberFormat="1" applyBorder="1" applyAlignment="1">
      <alignment horizontal="center" vertical="center"/>
    </xf>
    <xf numFmtId="0" fontId="2" fillId="2" borderId="2" xfId="0" applyFont="1" applyFill="1" applyBorder="1" applyAlignment="1">
      <alignment vertical="center"/>
    </xf>
    <xf numFmtId="43" fontId="7" fillId="0" borderId="1" xfId="0" applyNumberFormat="1" applyFont="1" applyBorder="1" applyAlignment="1">
      <alignment vertical="center"/>
    </xf>
    <xf numFmtId="43" fontId="0" fillId="0" borderId="1" xfId="0" applyNumberFormat="1" applyBorder="1" applyAlignment="1">
      <alignment vertical="center"/>
    </xf>
    <xf numFmtId="43" fontId="0" fillId="0" borderId="1" xfId="1" applyFont="1" applyBorder="1" applyAlignment="1">
      <alignment vertical="center"/>
    </xf>
    <xf numFmtId="164" fontId="0" fillId="0" borderId="1" xfId="2" applyNumberFormat="1" applyFont="1" applyBorder="1" applyAlignment="1">
      <alignment horizontal="center" vertical="center"/>
    </xf>
    <xf numFmtId="43" fontId="3" fillId="0" borderId="1" xfId="1" applyFont="1" applyBorder="1" applyAlignment="1">
      <alignment vertical="center"/>
    </xf>
    <xf numFmtId="10" fontId="0" fillId="0" borderId="0" xfId="2" applyNumberFormat="1" applyFont="1" applyAlignment="1">
      <alignment horizontal="center" vertical="center"/>
    </xf>
    <xf numFmtId="10" fontId="0" fillId="0" borderId="1" xfId="2" applyNumberFormat="1" applyFont="1" applyBorder="1" applyAlignment="1">
      <alignment horizontal="center" vertical="center"/>
    </xf>
    <xf numFmtId="164" fontId="0" fillId="0" borderId="0" xfId="2" applyNumberFormat="1" applyFont="1" applyAlignment="1">
      <alignment horizontal="center" vertical="center"/>
    </xf>
    <xf numFmtId="43" fontId="3" fillId="0" borderId="0" xfId="1" applyFont="1" applyBorder="1" applyAlignment="1">
      <alignment vertical="center"/>
    </xf>
    <xf numFmtId="43" fontId="0" fillId="0" borderId="0" xfId="1" applyFont="1" applyBorder="1" applyAlignment="1">
      <alignment vertical="center"/>
    </xf>
    <xf numFmtId="0" fontId="0" fillId="0" borderId="1" xfId="0" applyBorder="1"/>
    <xf numFmtId="43" fontId="7" fillId="0" borderId="1" xfId="0" applyNumberFormat="1" applyFont="1" applyBorder="1"/>
    <xf numFmtId="43" fontId="0" fillId="0" borderId="1" xfId="0" applyNumberFormat="1" applyBorder="1"/>
    <xf numFmtId="43" fontId="3" fillId="0" borderId="1" xfId="0" applyNumberFormat="1" applyFont="1" applyBorder="1" applyAlignment="1">
      <alignment vertical="center"/>
    </xf>
    <xf numFmtId="164" fontId="3" fillId="0" borderId="1" xfId="2" applyNumberFormat="1" applyFont="1" applyBorder="1" applyAlignment="1">
      <alignment horizontal="center" vertical="center"/>
    </xf>
    <xf numFmtId="4" fontId="0" fillId="0" borderId="0" xfId="0" applyNumberFormat="1" applyAlignment="1">
      <alignment horizontal="center" vertical="center"/>
    </xf>
    <xf numFmtId="2" fontId="0" fillId="0" borderId="0" xfId="0" applyNumberFormat="1" applyAlignment="1">
      <alignment horizontal="center" vertical="center"/>
    </xf>
    <xf numFmtId="10" fontId="0" fillId="0" borderId="0" xfId="0" applyNumberFormat="1" applyAlignment="1">
      <alignment horizontal="center" vertical="center"/>
    </xf>
    <xf numFmtId="43" fontId="0" fillId="0" borderId="0" xfId="1" applyFont="1" applyAlignment="1">
      <alignment horizontal="center" vertical="center"/>
    </xf>
    <xf numFmtId="43" fontId="0" fillId="0" borderId="0" xfId="0" applyNumberFormat="1" applyAlignment="1">
      <alignment horizontal="center" vertical="center"/>
    </xf>
    <xf numFmtId="2" fontId="3" fillId="0" borderId="0" xfId="1" applyNumberFormat="1" applyFont="1" applyAlignment="1">
      <alignment horizontal="center" vertical="center"/>
    </xf>
    <xf numFmtId="164" fontId="0" fillId="0" borderId="1" xfId="2" applyNumberFormat="1" applyFont="1" applyBorder="1" applyAlignment="1">
      <alignment horizontal="right" vertical="center"/>
    </xf>
    <xf numFmtId="164" fontId="2" fillId="2" borderId="2" xfId="2" applyNumberFormat="1" applyFont="1" applyFill="1" applyBorder="1" applyAlignment="1">
      <alignment vertical="center"/>
    </xf>
    <xf numFmtId="164" fontId="2" fillId="2" borderId="3" xfId="2" applyNumberFormat="1" applyFont="1" applyFill="1" applyBorder="1" applyAlignment="1">
      <alignment vertical="center"/>
    </xf>
    <xf numFmtId="164" fontId="2" fillId="2" borderId="4" xfId="2" applyNumberFormat="1" applyFont="1" applyFill="1" applyBorder="1" applyAlignment="1">
      <alignment vertical="center"/>
    </xf>
    <xf numFmtId="164" fontId="2" fillId="2" borderId="6" xfId="2" applyNumberFormat="1" applyFont="1" applyFill="1" applyBorder="1" applyAlignment="1">
      <alignment vertical="center"/>
    </xf>
    <xf numFmtId="164" fontId="2" fillId="2" borderId="7" xfId="2" applyNumberFormat="1" applyFont="1" applyFill="1" applyBorder="1" applyAlignment="1">
      <alignment vertical="center"/>
    </xf>
    <xf numFmtId="164" fontId="2" fillId="2" borderId="5" xfId="2" applyNumberFormat="1" applyFont="1" applyFill="1" applyBorder="1" applyAlignment="1">
      <alignment vertical="center"/>
    </xf>
    <xf numFmtId="43" fontId="0" fillId="0" borderId="8" xfId="1" applyFont="1" applyBorder="1" applyAlignment="1">
      <alignment vertical="center"/>
    </xf>
    <xf numFmtId="43" fontId="0" fillId="0" borderId="9" xfId="1" applyFont="1" applyBorder="1" applyAlignment="1">
      <alignment vertical="center"/>
    </xf>
    <xf numFmtId="43" fontId="0" fillId="0" borderId="10" xfId="1" applyFont="1" applyBorder="1" applyAlignment="1">
      <alignment vertical="center"/>
    </xf>
    <xf numFmtId="43" fontId="0" fillId="0" borderId="11" xfId="1" applyFont="1" applyBorder="1" applyAlignment="1">
      <alignment vertical="center"/>
    </xf>
    <xf numFmtId="43" fontId="0" fillId="0" borderId="12" xfId="1" applyFont="1" applyBorder="1" applyAlignment="1">
      <alignment vertical="center"/>
    </xf>
    <xf numFmtId="43" fontId="0" fillId="0" borderId="13" xfId="1" applyFont="1" applyBorder="1" applyAlignment="1">
      <alignment vertical="center"/>
    </xf>
    <xf numFmtId="43" fontId="0" fillId="0" borderId="14" xfId="1" applyFont="1" applyBorder="1" applyAlignment="1">
      <alignment vertical="center"/>
    </xf>
    <xf numFmtId="43" fontId="0" fillId="0" borderId="15" xfId="1" applyFont="1" applyBorder="1" applyAlignment="1">
      <alignment vertical="center"/>
    </xf>
    <xf numFmtId="0" fontId="2" fillId="2" borderId="2" xfId="0" applyFont="1" applyFill="1" applyBorder="1" applyAlignment="1">
      <alignment horizontal="right" vertical="center"/>
    </xf>
    <xf numFmtId="0" fontId="2" fillId="2" borderId="4" xfId="0" applyFont="1" applyFill="1" applyBorder="1" applyAlignment="1">
      <alignment horizontal="right" vertical="center"/>
    </xf>
    <xf numFmtId="0" fontId="0" fillId="2" borderId="6" xfId="0" applyFill="1" applyBorder="1" applyAlignment="1">
      <alignment vertical="center"/>
    </xf>
    <xf numFmtId="0" fontId="0" fillId="2" borderId="5" xfId="0" applyFill="1" applyBorder="1" applyAlignment="1">
      <alignment vertical="center"/>
    </xf>
    <xf numFmtId="0" fontId="0" fillId="4" borderId="1" xfId="0" applyFill="1" applyBorder="1" applyAlignment="1">
      <alignment vertical="center"/>
    </xf>
    <xf numFmtId="10" fontId="0" fillId="0" borderId="1" xfId="0" applyNumberFormat="1" applyBorder="1" applyAlignment="1">
      <alignment horizontal="center" vertical="center"/>
    </xf>
    <xf numFmtId="2" fontId="0" fillId="0" borderId="1" xfId="0" applyNumberFormat="1" applyBorder="1" applyAlignment="1">
      <alignment horizontal="center" vertical="center"/>
    </xf>
    <xf numFmtId="164" fontId="0" fillId="0" borderId="0" xfId="2" applyNumberFormat="1" applyFont="1" applyFill="1" applyBorder="1" applyAlignment="1">
      <alignment horizontal="center" vertical="center"/>
    </xf>
    <xf numFmtId="164" fontId="0" fillId="0" borderId="1" xfId="2" applyNumberFormat="1" applyFont="1" applyFill="1" applyBorder="1" applyAlignment="1">
      <alignment horizontal="center" vertical="center"/>
    </xf>
    <xf numFmtId="10" fontId="7" fillId="0" borderId="1" xfId="0" applyNumberFormat="1" applyFont="1" applyBorder="1" applyAlignment="1">
      <alignment horizontal="right" vertical="center"/>
    </xf>
    <xf numFmtId="164" fontId="7" fillId="0" borderId="1" xfId="2" applyNumberFormat="1" applyFont="1" applyBorder="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9" fillId="0" borderId="0" xfId="0" applyFont="1" applyAlignment="1">
      <alignment vertical="center"/>
    </xf>
    <xf numFmtId="0" fontId="0" fillId="0" borderId="21" xfId="0" applyBorder="1" applyAlignment="1">
      <alignment vertical="center"/>
    </xf>
    <xf numFmtId="0" fontId="0" fillId="0" borderId="23" xfId="0" applyBorder="1" applyAlignment="1">
      <alignment vertical="center"/>
    </xf>
    <xf numFmtId="0" fontId="2" fillId="2" borderId="17" xfId="0" applyFont="1" applyFill="1" applyBorder="1" applyAlignment="1">
      <alignment vertical="center"/>
    </xf>
    <xf numFmtId="0" fontId="13" fillId="0" borderId="0" xfId="0" applyFont="1" applyAlignment="1">
      <alignment horizontal="center" vertical="center"/>
    </xf>
    <xf numFmtId="0" fontId="8" fillId="0" borderId="0" xfId="0" applyFont="1" applyAlignment="1">
      <alignment horizontal="right" vertical="center"/>
    </xf>
    <xf numFmtId="164" fontId="0" fillId="0" borderId="0" xfId="2" applyNumberFormat="1" applyFont="1" applyFill="1" applyAlignment="1">
      <alignment horizontal="right" vertical="center"/>
    </xf>
    <xf numFmtId="43" fontId="0" fillId="0" borderId="0" xfId="0" applyNumberFormat="1" applyAlignment="1">
      <alignment horizontal="right" vertical="center"/>
    </xf>
    <xf numFmtId="0" fontId="0" fillId="0" borderId="0" xfId="0" applyAlignment="1">
      <alignment horizontal="right" vertical="center"/>
    </xf>
    <xf numFmtId="0" fontId="8" fillId="6" borderId="0" xfId="0" applyFont="1" applyFill="1" applyAlignment="1">
      <alignment horizontal="center" vertical="center"/>
    </xf>
    <xf numFmtId="43" fontId="0" fillId="4" borderId="22" xfId="1" applyFont="1" applyFill="1" applyBorder="1" applyAlignment="1">
      <alignment vertical="center"/>
    </xf>
    <xf numFmtId="0" fontId="0" fillId="2" borderId="21" xfId="0" applyFill="1" applyBorder="1" applyAlignment="1">
      <alignment horizontal="left" vertical="center"/>
    </xf>
    <xf numFmtId="0" fontId="0" fillId="2" borderId="23" xfId="0" applyFill="1" applyBorder="1" applyAlignment="1">
      <alignment horizontal="left" vertical="center"/>
    </xf>
    <xf numFmtId="0" fontId="8" fillId="5" borderId="17" xfId="0" applyFont="1" applyFill="1" applyBorder="1" applyAlignment="1">
      <alignment vertical="center"/>
    </xf>
    <xf numFmtId="0" fontId="8" fillId="5" borderId="27" xfId="0" applyFont="1" applyFill="1" applyBorder="1" applyAlignment="1">
      <alignment horizontal="center" vertical="center"/>
    </xf>
    <xf numFmtId="0" fontId="8" fillId="5" borderId="19" xfId="0" applyFont="1" applyFill="1" applyBorder="1" applyAlignment="1">
      <alignment vertical="center"/>
    </xf>
    <xf numFmtId="0" fontId="8" fillId="5" borderId="25" xfId="0" applyFont="1" applyFill="1" applyBorder="1" applyAlignment="1">
      <alignment horizontal="center" vertical="center"/>
    </xf>
    <xf numFmtId="0" fontId="8" fillId="5" borderId="20" xfId="0" applyFont="1" applyFill="1" applyBorder="1" applyAlignment="1">
      <alignment horizontal="center" vertical="center"/>
    </xf>
    <xf numFmtId="0" fontId="0" fillId="0" borderId="19" xfId="0" applyBorder="1" applyAlignment="1">
      <alignment vertical="center"/>
    </xf>
    <xf numFmtId="43" fontId="0" fillId="4" borderId="20" xfId="1" applyFont="1" applyFill="1" applyBorder="1" applyAlignment="1">
      <alignment vertical="center"/>
    </xf>
    <xf numFmtId="164" fontId="0" fillId="4" borderId="19" xfId="2" applyNumberFormat="1" applyFont="1" applyFill="1" applyBorder="1" applyAlignment="1">
      <alignment horizontal="center" vertical="center"/>
    </xf>
    <xf numFmtId="164" fontId="0" fillId="4" borderId="21" xfId="2" applyNumberFormat="1" applyFont="1" applyFill="1" applyBorder="1" applyAlignment="1">
      <alignment horizontal="center" vertical="center"/>
    </xf>
    <xf numFmtId="164" fontId="0" fillId="4" borderId="23" xfId="2" applyNumberFormat="1" applyFont="1" applyFill="1" applyBorder="1" applyAlignment="1">
      <alignment horizontal="center" vertical="center"/>
    </xf>
    <xf numFmtId="43" fontId="0" fillId="4" borderId="19" xfId="1" applyFont="1" applyFill="1" applyBorder="1" applyAlignment="1">
      <alignment vertical="center"/>
    </xf>
    <xf numFmtId="43" fontId="0" fillId="4" borderId="21" xfId="1" applyFont="1" applyFill="1" applyBorder="1" applyAlignment="1">
      <alignment vertical="center"/>
    </xf>
    <xf numFmtId="165" fontId="0" fillId="4" borderId="21" xfId="1" applyNumberFormat="1" applyFont="1" applyFill="1" applyBorder="1" applyAlignment="1">
      <alignment horizontal="center" vertical="center"/>
    </xf>
    <xf numFmtId="164" fontId="0" fillId="0" borderId="23" xfId="2" applyNumberFormat="1" applyFont="1" applyBorder="1" applyAlignment="1">
      <alignment horizontal="right" vertical="center"/>
    </xf>
    <xf numFmtId="164" fontId="0" fillId="0" borderId="24" xfId="2" applyNumberFormat="1" applyFont="1" applyBorder="1" applyAlignment="1">
      <alignment horizontal="right" vertical="center"/>
    </xf>
    <xf numFmtId="0" fontId="16" fillId="4" borderId="16" xfId="0" applyFont="1" applyFill="1" applyBorder="1" applyAlignment="1">
      <alignment horizontal="center" vertical="center"/>
    </xf>
    <xf numFmtId="43" fontId="0" fillId="0" borderId="1" xfId="1" applyFont="1" applyBorder="1" applyAlignment="1">
      <alignment horizontal="right"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26" xfId="0" applyFont="1" applyBorder="1" applyAlignment="1">
      <alignment horizontal="center" vertical="center"/>
    </xf>
    <xf numFmtId="0" fontId="4" fillId="0" borderId="5" xfId="0" applyFont="1" applyBorder="1" applyAlignment="1">
      <alignment vertical="center"/>
    </xf>
    <xf numFmtId="164" fontId="1" fillId="0" borderId="5" xfId="2" applyNumberFormat="1" applyFont="1" applyBorder="1" applyAlignment="1">
      <alignment horizontal="center" vertical="center"/>
    </xf>
    <xf numFmtId="0" fontId="5" fillId="2" borderId="17" xfId="0" applyFont="1" applyFill="1" applyBorder="1" applyAlignment="1">
      <alignment vertical="center"/>
    </xf>
    <xf numFmtId="0" fontId="0" fillId="2" borderId="27" xfId="0" applyFill="1" applyBorder="1" applyAlignment="1">
      <alignment horizontal="center" vertical="center"/>
    </xf>
    <xf numFmtId="0" fontId="0" fillId="2" borderId="27" xfId="0" applyFill="1" applyBorder="1" applyAlignment="1">
      <alignment vertical="center"/>
    </xf>
    <xf numFmtId="0" fontId="0" fillId="2" borderId="18" xfId="0" applyFill="1" applyBorder="1" applyAlignment="1">
      <alignment vertical="center"/>
    </xf>
    <xf numFmtId="0" fontId="4" fillId="3" borderId="1" xfId="0" applyFont="1" applyFill="1" applyBorder="1" applyAlignment="1">
      <alignment vertical="center"/>
    </xf>
    <xf numFmtId="164" fontId="0" fillId="3" borderId="1" xfId="2" applyNumberFormat="1" applyFont="1" applyFill="1" applyBorder="1" applyAlignment="1">
      <alignment horizontal="center" vertical="center"/>
    </xf>
    <xf numFmtId="0" fontId="0" fillId="0" borderId="5" xfId="0" applyBorder="1" applyAlignment="1">
      <alignment vertical="center"/>
    </xf>
    <xf numFmtId="43" fontId="3" fillId="0" borderId="5" xfId="1" applyFont="1" applyBorder="1" applyAlignment="1">
      <alignment horizontal="center" vertical="center"/>
    </xf>
    <xf numFmtId="43" fontId="0" fillId="0" borderId="5" xfId="1" applyFont="1" applyBorder="1" applyAlignment="1">
      <alignment horizontal="center" vertical="center"/>
    </xf>
    <xf numFmtId="0" fontId="2" fillId="3" borderId="17" xfId="0" applyFont="1" applyFill="1" applyBorder="1" applyAlignment="1">
      <alignment vertical="center"/>
    </xf>
    <xf numFmtId="0" fontId="2" fillId="3" borderId="27" xfId="0" applyFont="1" applyFill="1" applyBorder="1" applyAlignment="1">
      <alignment horizontal="center" vertical="center"/>
    </xf>
    <xf numFmtId="0" fontId="0" fillId="3" borderId="27" xfId="0" applyFill="1" applyBorder="1" applyAlignment="1">
      <alignment vertical="center"/>
    </xf>
    <xf numFmtId="0" fontId="0" fillId="3" borderId="18" xfId="0" applyFill="1" applyBorder="1" applyAlignment="1">
      <alignment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43" fontId="7" fillId="0" borderId="5" xfId="0" applyNumberFormat="1" applyFont="1" applyBorder="1" applyAlignment="1">
      <alignment vertical="center"/>
    </xf>
    <xf numFmtId="0" fontId="2" fillId="2" borderId="27" xfId="0" applyFont="1" applyFill="1" applyBorder="1" applyAlignment="1">
      <alignment vertical="center"/>
    </xf>
    <xf numFmtId="0" fontId="2" fillId="0" borderId="0" xfId="0" applyFont="1" applyAlignment="1">
      <alignment horizontal="left" vertical="center"/>
    </xf>
    <xf numFmtId="0" fontId="2" fillId="2" borderId="19" xfId="0" applyFont="1" applyFill="1" applyBorder="1" applyAlignment="1">
      <alignment horizontal="left" vertical="center"/>
    </xf>
    <xf numFmtId="0" fontId="2" fillId="2" borderId="25" xfId="0" applyFont="1" applyFill="1" applyBorder="1" applyAlignment="1">
      <alignment horizontal="left" vertical="center"/>
    </xf>
    <xf numFmtId="0" fontId="2" fillId="2" borderId="20" xfId="0" applyFont="1" applyFill="1" applyBorder="1" applyAlignment="1">
      <alignment horizontal="left" vertical="center"/>
    </xf>
    <xf numFmtId="0" fontId="12" fillId="0" borderId="17" xfId="0" applyFont="1" applyBorder="1" applyAlignment="1">
      <alignment horizontal="left" vertical="center"/>
    </xf>
    <xf numFmtId="0" fontId="12" fillId="0" borderId="27" xfId="0" applyFont="1" applyBorder="1" applyAlignment="1">
      <alignment horizontal="left" vertical="center"/>
    </xf>
    <xf numFmtId="0" fontId="12" fillId="0" borderId="18" xfId="0" applyFont="1" applyBorder="1" applyAlignment="1">
      <alignment horizontal="left" vertical="center"/>
    </xf>
    <xf numFmtId="0" fontId="14" fillId="0" borderId="0" xfId="0" applyFont="1" applyAlignment="1">
      <alignment horizontal="left" vertical="center"/>
    </xf>
    <xf numFmtId="0" fontId="17" fillId="0" borderId="0" xfId="0" applyFont="1" applyAlignment="1">
      <alignment horizontal="left" vertical="center"/>
    </xf>
    <xf numFmtId="0" fontId="0" fillId="0" borderId="1" xfId="0" applyBorder="1" applyAlignment="1">
      <alignment horizontal="center" vertical="center"/>
    </xf>
    <xf numFmtId="2" fontId="0" fillId="0" borderId="1" xfId="1" applyNumberFormat="1" applyFont="1" applyBorder="1" applyAlignment="1">
      <alignment horizontal="center" vertical="center"/>
    </xf>
    <xf numFmtId="9" fontId="0" fillId="0" borderId="1" xfId="2" applyFont="1" applyBorder="1" applyAlignment="1">
      <alignment horizontal="center" vertical="center"/>
    </xf>
    <xf numFmtId="0" fontId="8" fillId="6" borderId="0" xfId="0" applyFont="1" applyFill="1" applyAlignment="1">
      <alignment vertical="center"/>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2" borderId="10" xfId="0" applyFont="1" applyFill="1" applyBorder="1" applyAlignment="1">
      <alignment horizontal="left" vertical="center"/>
    </xf>
    <xf numFmtId="0" fontId="0" fillId="2" borderId="11" xfId="0" applyFill="1" applyBorder="1" applyAlignment="1">
      <alignment horizontal="left" vertical="center"/>
    </xf>
    <xf numFmtId="0" fontId="0" fillId="2" borderId="13" xfId="0" applyFill="1" applyBorder="1" applyAlignment="1">
      <alignment horizontal="left" vertical="center"/>
    </xf>
    <xf numFmtId="9" fontId="1" fillId="4" borderId="11" xfId="2" applyFont="1" applyFill="1" applyBorder="1" applyAlignment="1">
      <alignment horizontal="center" vertical="center"/>
    </xf>
    <xf numFmtId="9" fontId="0" fillId="4" borderId="11" xfId="2" applyFont="1" applyFill="1" applyBorder="1" applyAlignment="1">
      <alignment horizontal="center" vertical="center"/>
    </xf>
    <xf numFmtId="9" fontId="0" fillId="4" borderId="13" xfId="2" applyFont="1" applyFill="1" applyBorder="1" applyAlignment="1">
      <alignment horizontal="center" vertical="center"/>
    </xf>
    <xf numFmtId="0" fontId="8" fillId="6" borderId="2" xfId="0" applyFont="1" applyFill="1" applyBorder="1" applyAlignment="1">
      <alignment horizontal="left"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2" xfId="0" applyFont="1" applyFill="1" applyBorder="1" applyAlignment="1">
      <alignment vertical="center"/>
    </xf>
    <xf numFmtId="43" fontId="0" fillId="4" borderId="6" xfId="1" applyFont="1" applyFill="1" applyBorder="1" applyAlignment="1">
      <alignment vertical="center"/>
    </xf>
    <xf numFmtId="43" fontId="0" fillId="4" borderId="7" xfId="1" applyFont="1" applyFill="1" applyBorder="1" applyAlignment="1">
      <alignment vertical="center"/>
    </xf>
    <xf numFmtId="43" fontId="0" fillId="4" borderId="7" xfId="1" applyFont="1" applyFill="1" applyBorder="1" applyAlignment="1">
      <alignment horizontal="right" vertical="center"/>
    </xf>
    <xf numFmtId="43" fontId="1" fillId="4" borderId="7" xfId="1" applyFont="1" applyFill="1" applyBorder="1" applyAlignment="1">
      <alignment horizontal="right" vertical="center"/>
    </xf>
    <xf numFmtId="43" fontId="0" fillId="4" borderId="5" xfId="1" applyFont="1" applyFill="1" applyBorder="1" applyAlignment="1">
      <alignment vertical="center"/>
    </xf>
    <xf numFmtId="164" fontId="0" fillId="4" borderId="6" xfId="2" applyNumberFormat="1" applyFont="1" applyFill="1" applyBorder="1" applyAlignment="1">
      <alignment horizontal="center" vertical="center"/>
    </xf>
    <xf numFmtId="164" fontId="0" fillId="4" borderId="7" xfId="2" applyNumberFormat="1" applyFont="1" applyFill="1" applyBorder="1" applyAlignment="1">
      <alignment horizontal="center" vertical="center"/>
    </xf>
    <xf numFmtId="165" fontId="0" fillId="4" borderId="7" xfId="2" applyNumberFormat="1" applyFont="1" applyFill="1" applyBorder="1" applyAlignment="1">
      <alignment horizontal="center" vertical="center"/>
    </xf>
    <xf numFmtId="164" fontId="0" fillId="4" borderId="5" xfId="2" applyNumberFormat="1" applyFont="1" applyFill="1" applyBorder="1" applyAlignment="1">
      <alignment horizontal="center" vertical="center"/>
    </xf>
    <xf numFmtId="0" fontId="10" fillId="2" borderId="17" xfId="0" applyFont="1" applyFill="1" applyBorder="1" applyAlignment="1">
      <alignment horizontal="center" vertical="center"/>
    </xf>
    <xf numFmtId="0" fontId="12" fillId="0" borderId="0" xfId="0" applyFont="1" applyAlignment="1">
      <alignment horizontal="left" vertical="center"/>
    </xf>
    <xf numFmtId="2" fontId="11" fillId="4" borderId="1" xfId="0" applyNumberFormat="1" applyFont="1" applyFill="1" applyBorder="1" applyAlignment="1">
      <alignment horizontal="center" vertical="center"/>
    </xf>
    <xf numFmtId="0" fontId="2" fillId="2" borderId="8" xfId="0" applyFont="1" applyFill="1" applyBorder="1" applyAlignment="1">
      <alignment vertical="center"/>
    </xf>
    <xf numFmtId="0" fontId="2" fillId="2" borderId="9" xfId="0" applyFont="1" applyFill="1" applyBorder="1" applyAlignment="1">
      <alignment vertical="center"/>
    </xf>
    <xf numFmtId="0" fontId="2" fillId="2" borderId="10" xfId="0" applyFont="1" applyFill="1" applyBorder="1" applyAlignment="1">
      <alignment vertical="center"/>
    </xf>
    <xf numFmtId="164" fontId="0" fillId="0" borderId="5" xfId="2" applyNumberFormat="1" applyFont="1" applyFill="1" applyBorder="1" applyAlignment="1">
      <alignment horizontal="center" vertical="center"/>
    </xf>
    <xf numFmtId="164" fontId="0" fillId="0" borderId="5" xfId="2" applyNumberFormat="1" applyFont="1" applyBorder="1" applyAlignment="1">
      <alignment horizontal="center" vertical="center"/>
    </xf>
    <xf numFmtId="2" fontId="0" fillId="0" borderId="5" xfId="0" applyNumberFormat="1" applyBorder="1" applyAlignment="1">
      <alignment horizontal="center" vertical="center"/>
    </xf>
    <xf numFmtId="10" fontId="0" fillId="0" borderId="5" xfId="2" applyNumberFormat="1" applyFont="1" applyBorder="1" applyAlignment="1">
      <alignment horizontal="center" vertical="center"/>
    </xf>
    <xf numFmtId="0" fontId="8" fillId="6" borderId="4" xfId="0" applyFont="1" applyFill="1" applyBorder="1" applyAlignment="1">
      <alignment vertical="center"/>
    </xf>
    <xf numFmtId="10" fontId="2" fillId="2" borderId="9" xfId="0" applyNumberFormat="1" applyFont="1" applyFill="1" applyBorder="1" applyAlignment="1">
      <alignment horizontal="center" vertical="center"/>
    </xf>
    <xf numFmtId="0" fontId="2" fillId="2" borderId="9" xfId="0" applyFont="1" applyFill="1" applyBorder="1" applyAlignment="1">
      <alignment horizontal="center" vertical="center"/>
    </xf>
  </cellXfs>
  <cellStyles count="3">
    <cellStyle name="Comma" xfId="1" builtinId="3"/>
    <cellStyle name="Normal" xfId="0" builtinId="0"/>
    <cellStyle name="Percent" xfId="2" builtinId="5"/>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9C31"/>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HUL:ROCE vs FCFF</a:t>
            </a:r>
            <a:r>
              <a:rPr lang="en-IN" sz="1200" baseline="0"/>
              <a:t> Trend</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0321845819509907"/>
          <c:y val="0.2318543925647267"/>
          <c:w val="0.74333163148482317"/>
          <c:h val="0.49870307669573954"/>
        </c:manualLayout>
      </c:layout>
      <c:lineChart>
        <c:grouping val="stacked"/>
        <c:varyColors val="0"/>
        <c:ser>
          <c:idx val="1"/>
          <c:order val="0"/>
          <c:tx>
            <c:strRef>
              <c:f>Output_Dashboard!$B$13</c:f>
              <c:strCache>
                <c:ptCount val="1"/>
                <c:pt idx="0">
                  <c:v>ROCE</c:v>
                </c:pt>
              </c:strCache>
            </c:strRef>
          </c:tx>
          <c:spPr>
            <a:ln w="28575" cap="rnd">
              <a:solidFill>
                <a:srgbClr val="00B050"/>
              </a:solidFill>
              <a:prstDash val="sysDot"/>
              <a:round/>
            </a:ln>
            <a:effectLst/>
          </c:spPr>
          <c:marker>
            <c:symbol val="circle"/>
            <c:size val="5"/>
            <c:spPr>
              <a:solidFill>
                <a:srgbClr val="00B050"/>
              </a:solidFill>
              <a:ln w="9525">
                <a:solidFill>
                  <a:srgbClr val="00B050"/>
                </a:solidFill>
                <a:prstDash val="sysDot"/>
              </a:ln>
              <a:effectLst/>
            </c:spPr>
          </c:marker>
          <c:cat>
            <c:strRef>
              <c:f>Output_Dashboard!$A$14:$A$23</c:f>
              <c:strCache>
                <c:ptCount val="10"/>
                <c:pt idx="0">
                  <c:v>FY2026F</c:v>
                </c:pt>
                <c:pt idx="1">
                  <c:v>FY2027F</c:v>
                </c:pt>
                <c:pt idx="2">
                  <c:v>FY2028F</c:v>
                </c:pt>
                <c:pt idx="3">
                  <c:v>FY2029F</c:v>
                </c:pt>
                <c:pt idx="4">
                  <c:v>FY2030F</c:v>
                </c:pt>
                <c:pt idx="5">
                  <c:v>FY2031F</c:v>
                </c:pt>
                <c:pt idx="6">
                  <c:v>FY2032F</c:v>
                </c:pt>
                <c:pt idx="7">
                  <c:v>FY2033F</c:v>
                </c:pt>
                <c:pt idx="8">
                  <c:v>FY2034F</c:v>
                </c:pt>
                <c:pt idx="9">
                  <c:v>FY2035F</c:v>
                </c:pt>
              </c:strCache>
            </c:strRef>
          </c:cat>
          <c:val>
            <c:numRef>
              <c:f>Output_Dashboard!$B$14:$B$23</c:f>
              <c:numCache>
                <c:formatCode>0%</c:formatCode>
                <c:ptCount val="10"/>
                <c:pt idx="0">
                  <c:v>0.42745687012329242</c:v>
                </c:pt>
                <c:pt idx="1">
                  <c:v>0.4430559469362147</c:v>
                </c:pt>
                <c:pt idx="2">
                  <c:v>0.4597796239469587</c:v>
                </c:pt>
                <c:pt idx="3">
                  <c:v>0.47773876073311561</c:v>
                </c:pt>
                <c:pt idx="4">
                  <c:v>0.49705166781061305</c:v>
                </c:pt>
                <c:pt idx="5">
                  <c:v>0.51784527444468165</c:v>
                </c:pt>
                <c:pt idx="6">
                  <c:v>0.54193542414188356</c:v>
                </c:pt>
                <c:pt idx="7">
                  <c:v>0.56965673679955742</c:v>
                </c:pt>
                <c:pt idx="8">
                  <c:v>0.60140768846814396</c:v>
                </c:pt>
                <c:pt idx="9">
                  <c:v>0.6376592401522998</c:v>
                </c:pt>
              </c:numCache>
            </c:numRef>
          </c:val>
          <c:smooth val="0"/>
          <c:extLst>
            <c:ext xmlns:c16="http://schemas.microsoft.com/office/drawing/2014/chart" uri="{C3380CC4-5D6E-409C-BE32-E72D297353CC}">
              <c16:uniqueId val="{00000001-33F5-4BF8-9207-876EE7ADFD1C}"/>
            </c:ext>
          </c:extLst>
        </c:ser>
        <c:dLbls>
          <c:showLegendKey val="0"/>
          <c:showVal val="0"/>
          <c:showCatName val="0"/>
          <c:showSerName val="0"/>
          <c:showPercent val="0"/>
          <c:showBubbleSize val="0"/>
        </c:dLbls>
        <c:marker val="1"/>
        <c:smooth val="0"/>
        <c:axId val="789456552"/>
        <c:axId val="789455832"/>
      </c:lineChart>
      <c:lineChart>
        <c:grouping val="stacked"/>
        <c:varyColors val="0"/>
        <c:ser>
          <c:idx val="2"/>
          <c:order val="1"/>
          <c:tx>
            <c:strRef>
              <c:f>Output_Dashboard!$C$13</c:f>
              <c:strCache>
                <c:ptCount val="1"/>
                <c:pt idx="0">
                  <c:v>FCFF</c:v>
                </c:pt>
              </c:strCache>
            </c:strRef>
          </c:tx>
          <c:spPr>
            <a:ln w="12700" cap="rnd">
              <a:solidFill>
                <a:srgbClr val="002060"/>
              </a:solidFill>
              <a:round/>
            </a:ln>
            <a:effectLst/>
          </c:spPr>
          <c:marker>
            <c:symbol val="circle"/>
            <c:size val="5"/>
            <c:spPr>
              <a:solidFill>
                <a:srgbClr val="002060"/>
              </a:solidFill>
              <a:ln w="12700">
                <a:solidFill>
                  <a:srgbClr val="002060"/>
                </a:solidFill>
              </a:ln>
              <a:effectLst/>
            </c:spPr>
          </c:marker>
          <c:cat>
            <c:strRef>
              <c:f>Output_Dashboard!$A$14:$A$23</c:f>
              <c:strCache>
                <c:ptCount val="10"/>
                <c:pt idx="0">
                  <c:v>FY2026F</c:v>
                </c:pt>
                <c:pt idx="1">
                  <c:v>FY2027F</c:v>
                </c:pt>
                <c:pt idx="2">
                  <c:v>FY2028F</c:v>
                </c:pt>
                <c:pt idx="3">
                  <c:v>FY2029F</c:v>
                </c:pt>
                <c:pt idx="4">
                  <c:v>FY2030F</c:v>
                </c:pt>
                <c:pt idx="5">
                  <c:v>FY2031F</c:v>
                </c:pt>
                <c:pt idx="6">
                  <c:v>FY2032F</c:v>
                </c:pt>
                <c:pt idx="7">
                  <c:v>FY2033F</c:v>
                </c:pt>
                <c:pt idx="8">
                  <c:v>FY2034F</c:v>
                </c:pt>
                <c:pt idx="9">
                  <c:v>FY2035F</c:v>
                </c:pt>
              </c:strCache>
            </c:strRef>
          </c:cat>
          <c:val>
            <c:numRef>
              <c:f>Output_Dashboard!$C$14:$C$23</c:f>
              <c:numCache>
                <c:formatCode>_(* #,##0.00_);_(* \(#,##0.00\);_(* "-"??_);_(@_)</c:formatCode>
                <c:ptCount val="10"/>
                <c:pt idx="0">
                  <c:v>10833.391</c:v>
                </c:pt>
                <c:pt idx="1">
                  <c:v>11238.249185833887</c:v>
                </c:pt>
                <c:pt idx="2">
                  <c:v>11586.299460673468</c:v>
                </c:pt>
                <c:pt idx="3">
                  <c:v>11971.814985756795</c:v>
                </c:pt>
                <c:pt idx="4">
                  <c:v>12397.133062959114</c:v>
                </c:pt>
                <c:pt idx="5">
                  <c:v>12864.963008194489</c:v>
                </c:pt>
                <c:pt idx="6">
                  <c:v>13378.411642975723</c:v>
                </c:pt>
                <c:pt idx="7">
                  <c:v>13988.584076580044</c:v>
                </c:pt>
                <c:pt idx="8">
                  <c:v>14695.261661647464</c:v>
                </c:pt>
                <c:pt idx="9">
                  <c:v>15510.334195281843</c:v>
                </c:pt>
              </c:numCache>
            </c:numRef>
          </c:val>
          <c:smooth val="0"/>
          <c:extLst>
            <c:ext xmlns:c16="http://schemas.microsoft.com/office/drawing/2014/chart" uri="{C3380CC4-5D6E-409C-BE32-E72D297353CC}">
              <c16:uniqueId val="{00000002-33F5-4BF8-9207-876EE7ADFD1C}"/>
            </c:ext>
          </c:extLst>
        </c:ser>
        <c:dLbls>
          <c:showLegendKey val="0"/>
          <c:showVal val="0"/>
          <c:showCatName val="0"/>
          <c:showSerName val="0"/>
          <c:showPercent val="0"/>
          <c:showBubbleSize val="0"/>
        </c:dLbls>
        <c:marker val="1"/>
        <c:smooth val="0"/>
        <c:axId val="777971896"/>
        <c:axId val="788518768"/>
      </c:lineChart>
      <c:catAx>
        <c:axId val="789456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89455832"/>
        <c:crossesAt val="0"/>
        <c:auto val="1"/>
        <c:lblAlgn val="ctr"/>
        <c:lblOffset val="100"/>
        <c:noMultiLvlLbl val="0"/>
      </c:catAx>
      <c:valAx>
        <c:axId val="789455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89456552"/>
        <c:crosses val="autoZero"/>
        <c:crossBetween val="between"/>
      </c:valAx>
      <c:valAx>
        <c:axId val="788518768"/>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7971896"/>
        <c:crosses val="max"/>
        <c:crossBetween val="between"/>
      </c:valAx>
      <c:catAx>
        <c:axId val="777971896"/>
        <c:scaling>
          <c:orientation val="minMax"/>
        </c:scaling>
        <c:delete val="1"/>
        <c:axPos val="b"/>
        <c:numFmt formatCode="General" sourceLinked="1"/>
        <c:majorTickMark val="out"/>
        <c:minorTickMark val="none"/>
        <c:tickLblPos val="nextTo"/>
        <c:crossAx val="788518768"/>
        <c:crosses val="autoZero"/>
        <c:auto val="1"/>
        <c:lblAlgn val="ctr"/>
        <c:lblOffset val="100"/>
        <c:noMultiLvlLbl val="0"/>
      </c:catAx>
      <c:spPr>
        <a:noFill/>
        <a:ln>
          <a:solidFill>
            <a:schemeClr val="bg1">
              <a:lumMod val="95000"/>
            </a:schemeClr>
          </a:solidFill>
        </a:ln>
        <a:effectLst/>
      </c:spPr>
    </c:plotArea>
    <c:legend>
      <c:legendPos val="b"/>
      <c:layout>
        <c:manualLayout>
          <c:xMode val="edge"/>
          <c:yMode val="edge"/>
          <c:x val="0.69956175604193405"/>
          <c:y val="0.88598187741828716"/>
          <c:w val="0.30043816446595206"/>
          <c:h val="9.732613569637683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ITC: ROCE vs FCFF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1"/>
          <c:order val="0"/>
          <c:tx>
            <c:strRef>
              <c:f>Output_Dashboard!$B$26</c:f>
              <c:strCache>
                <c:ptCount val="1"/>
                <c:pt idx="0">
                  <c:v>ROCE</c:v>
                </c:pt>
              </c:strCache>
            </c:strRef>
          </c:tx>
          <c:spPr>
            <a:ln w="28575" cap="rnd">
              <a:solidFill>
                <a:srgbClr val="00B050"/>
              </a:solidFill>
              <a:prstDash val="sysDot"/>
              <a:round/>
            </a:ln>
            <a:effectLst/>
          </c:spPr>
          <c:marker>
            <c:symbol val="circle"/>
            <c:size val="5"/>
            <c:spPr>
              <a:solidFill>
                <a:srgbClr val="00B050"/>
              </a:solidFill>
              <a:ln w="9525">
                <a:solidFill>
                  <a:srgbClr val="00B050"/>
                </a:solidFill>
                <a:prstDash val="sysDot"/>
              </a:ln>
              <a:effectLst/>
            </c:spPr>
          </c:marker>
          <c:cat>
            <c:strRef>
              <c:f>Output_Dashboard!$A$27:$A$36</c:f>
              <c:strCache>
                <c:ptCount val="10"/>
                <c:pt idx="0">
                  <c:v>FY2026F</c:v>
                </c:pt>
                <c:pt idx="1">
                  <c:v>FY2027F</c:v>
                </c:pt>
                <c:pt idx="2">
                  <c:v>FY2028F</c:v>
                </c:pt>
                <c:pt idx="3">
                  <c:v>FY2029F</c:v>
                </c:pt>
                <c:pt idx="4">
                  <c:v>FY2030F</c:v>
                </c:pt>
                <c:pt idx="5">
                  <c:v>FY2031F</c:v>
                </c:pt>
                <c:pt idx="6">
                  <c:v>FY2032F</c:v>
                </c:pt>
                <c:pt idx="7">
                  <c:v>FY2033F</c:v>
                </c:pt>
                <c:pt idx="8">
                  <c:v>FY2034F</c:v>
                </c:pt>
                <c:pt idx="9">
                  <c:v>FY2035F</c:v>
                </c:pt>
              </c:strCache>
            </c:strRef>
          </c:cat>
          <c:val>
            <c:numRef>
              <c:f>Output_Dashboard!$B$27:$B$36</c:f>
              <c:numCache>
                <c:formatCode>0%</c:formatCode>
                <c:ptCount val="10"/>
                <c:pt idx="0">
                  <c:v>0.71438845898430292</c:v>
                </c:pt>
                <c:pt idx="1">
                  <c:v>0.72874381016186707</c:v>
                </c:pt>
                <c:pt idx="2">
                  <c:v>0.7428779582428181</c:v>
                </c:pt>
                <c:pt idx="3">
                  <c:v>0.75677432456495763</c:v>
                </c:pt>
                <c:pt idx="4">
                  <c:v>0.77041893313755827</c:v>
                </c:pt>
                <c:pt idx="5">
                  <c:v>0.78380040872296164</c:v>
                </c:pt>
                <c:pt idx="6">
                  <c:v>0.79557754952977289</c:v>
                </c:pt>
                <c:pt idx="7">
                  <c:v>0.8059082450214442</c:v>
                </c:pt>
                <c:pt idx="8">
                  <c:v>0.81494119059584735</c:v>
                </c:pt>
                <c:pt idx="9">
                  <c:v>0.82281387345935808</c:v>
                </c:pt>
              </c:numCache>
            </c:numRef>
          </c:val>
          <c:smooth val="0"/>
          <c:extLst>
            <c:ext xmlns:c16="http://schemas.microsoft.com/office/drawing/2014/chart" uri="{C3380CC4-5D6E-409C-BE32-E72D297353CC}">
              <c16:uniqueId val="{00000001-84B8-4F88-AE07-592E99DD73C2}"/>
            </c:ext>
          </c:extLst>
        </c:ser>
        <c:dLbls>
          <c:showLegendKey val="0"/>
          <c:showVal val="0"/>
          <c:showCatName val="0"/>
          <c:showSerName val="0"/>
          <c:showPercent val="0"/>
          <c:showBubbleSize val="0"/>
        </c:dLbls>
        <c:marker val="1"/>
        <c:smooth val="0"/>
        <c:axId val="777970816"/>
        <c:axId val="777974056"/>
      </c:lineChart>
      <c:lineChart>
        <c:grouping val="stacked"/>
        <c:varyColors val="0"/>
        <c:ser>
          <c:idx val="2"/>
          <c:order val="1"/>
          <c:tx>
            <c:strRef>
              <c:f>Output_Dashboard!$C$26</c:f>
              <c:strCache>
                <c:ptCount val="1"/>
                <c:pt idx="0">
                  <c:v>FCFF</c:v>
                </c:pt>
              </c:strCache>
            </c:strRef>
          </c:tx>
          <c:spPr>
            <a:ln w="12700" cap="rnd">
              <a:solidFill>
                <a:srgbClr val="002060"/>
              </a:solidFill>
              <a:round/>
            </a:ln>
            <a:effectLst/>
          </c:spPr>
          <c:marker>
            <c:symbol val="circle"/>
            <c:size val="5"/>
            <c:spPr>
              <a:solidFill>
                <a:srgbClr val="002060"/>
              </a:solidFill>
              <a:ln w="12700">
                <a:solidFill>
                  <a:srgbClr val="002060"/>
                </a:solidFill>
              </a:ln>
              <a:effectLst/>
            </c:spPr>
          </c:marker>
          <c:cat>
            <c:strRef>
              <c:f>Output_Dashboard!$A$27:$A$36</c:f>
              <c:strCache>
                <c:ptCount val="10"/>
                <c:pt idx="0">
                  <c:v>FY2026F</c:v>
                </c:pt>
                <c:pt idx="1">
                  <c:v>FY2027F</c:v>
                </c:pt>
                <c:pt idx="2">
                  <c:v>FY2028F</c:v>
                </c:pt>
                <c:pt idx="3">
                  <c:v>FY2029F</c:v>
                </c:pt>
                <c:pt idx="4">
                  <c:v>FY2030F</c:v>
                </c:pt>
                <c:pt idx="5">
                  <c:v>FY2031F</c:v>
                </c:pt>
                <c:pt idx="6">
                  <c:v>FY2032F</c:v>
                </c:pt>
                <c:pt idx="7">
                  <c:v>FY2033F</c:v>
                </c:pt>
                <c:pt idx="8">
                  <c:v>FY2034F</c:v>
                </c:pt>
                <c:pt idx="9">
                  <c:v>FY2035F</c:v>
                </c:pt>
              </c:strCache>
            </c:strRef>
          </c:cat>
          <c:val>
            <c:numRef>
              <c:f>Output_Dashboard!$C$27:$C$36</c:f>
              <c:numCache>
                <c:formatCode>_(* #,##0.00_);_(* \(#,##0.00\);_(* "-"??_);_(@_)</c:formatCode>
                <c:ptCount val="10"/>
                <c:pt idx="0">
                  <c:v>18676.210569999999</c:v>
                </c:pt>
                <c:pt idx="1">
                  <c:v>18392.388473092909</c:v>
                </c:pt>
                <c:pt idx="2">
                  <c:v>20225.559921879358</c:v>
                </c:pt>
                <c:pt idx="3">
                  <c:v>22282.265646421558</c:v>
                </c:pt>
                <c:pt idx="4">
                  <c:v>24593.039858220051</c:v>
                </c:pt>
                <c:pt idx="5">
                  <c:v>27192.986715727126</c:v>
                </c:pt>
                <c:pt idx="6">
                  <c:v>30122.516715981783</c:v>
                </c:pt>
                <c:pt idx="7">
                  <c:v>33414.396670630857</c:v>
                </c:pt>
                <c:pt idx="8">
                  <c:v>37004.005093530097</c:v>
                </c:pt>
                <c:pt idx="9">
                  <c:v>40909.17094484179</c:v>
                </c:pt>
              </c:numCache>
            </c:numRef>
          </c:val>
          <c:smooth val="0"/>
          <c:extLst>
            <c:ext xmlns:c16="http://schemas.microsoft.com/office/drawing/2014/chart" uri="{C3380CC4-5D6E-409C-BE32-E72D297353CC}">
              <c16:uniqueId val="{00000002-84B8-4F88-AE07-592E99DD73C2}"/>
            </c:ext>
          </c:extLst>
        </c:ser>
        <c:dLbls>
          <c:showLegendKey val="0"/>
          <c:showVal val="0"/>
          <c:showCatName val="0"/>
          <c:showSerName val="0"/>
          <c:showPercent val="0"/>
          <c:showBubbleSize val="0"/>
        </c:dLbls>
        <c:marker val="1"/>
        <c:smooth val="0"/>
        <c:axId val="996748696"/>
        <c:axId val="106941704"/>
      </c:lineChart>
      <c:catAx>
        <c:axId val="77797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7974056"/>
        <c:crosses val="autoZero"/>
        <c:auto val="1"/>
        <c:lblAlgn val="ctr"/>
        <c:lblOffset val="100"/>
        <c:noMultiLvlLbl val="0"/>
      </c:catAx>
      <c:valAx>
        <c:axId val="777974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7970816"/>
        <c:crosses val="autoZero"/>
        <c:crossBetween val="between"/>
      </c:valAx>
      <c:valAx>
        <c:axId val="106941704"/>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96748696"/>
        <c:crosses val="max"/>
        <c:crossBetween val="between"/>
      </c:valAx>
      <c:catAx>
        <c:axId val="996748696"/>
        <c:scaling>
          <c:orientation val="minMax"/>
        </c:scaling>
        <c:delete val="1"/>
        <c:axPos val="b"/>
        <c:numFmt formatCode="General" sourceLinked="1"/>
        <c:majorTickMark val="out"/>
        <c:minorTickMark val="none"/>
        <c:tickLblPos val="nextTo"/>
        <c:crossAx val="106941704"/>
        <c:crosses val="autoZero"/>
        <c:auto val="1"/>
        <c:lblAlgn val="ctr"/>
        <c:lblOffset val="100"/>
        <c:noMultiLvlLbl val="0"/>
      </c:catAx>
      <c:spPr>
        <a:noFill/>
        <a:ln>
          <a:solidFill>
            <a:schemeClr val="bg1">
              <a:lumMod val="95000"/>
            </a:schemeClr>
          </a:solidFill>
        </a:ln>
        <a:effectLst/>
      </c:spPr>
    </c:plotArea>
    <c:legend>
      <c:legendPos val="b"/>
      <c:layout>
        <c:manualLayout>
          <c:xMode val="edge"/>
          <c:yMode val="edge"/>
          <c:x val="0.70798467014930311"/>
          <c:y val="0.84418715361242214"/>
          <c:w val="0.29201557085232421"/>
          <c:h val="0.130484019643776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778934</xdr:colOff>
      <xdr:row>1</xdr:row>
      <xdr:rowOff>8965</xdr:rowOff>
    </xdr:from>
    <xdr:ext cx="2331819" cy="288175"/>
    <xdr:sp macro="" textlink="">
      <xdr:nvSpPr>
        <xdr:cNvPr id="3" name="TextBox 2">
          <a:extLst>
            <a:ext uri="{FF2B5EF4-FFF2-40B4-BE49-F238E27FC236}">
              <a16:creationId xmlns:a16="http://schemas.microsoft.com/office/drawing/2014/main" id="{70EDE458-683C-DBAC-A10B-A95BD2A5A6D8}"/>
            </a:ext>
          </a:extLst>
        </xdr:cNvPr>
        <xdr:cNvSpPr txBox="1"/>
      </xdr:nvSpPr>
      <xdr:spPr>
        <a:xfrm>
          <a:off x="778934" y="394447"/>
          <a:ext cx="2331819" cy="28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accent3">
                  <a:lumMod val="50000"/>
                </a:schemeClr>
              </a:solidFill>
            </a:rPr>
            <a:t>HUL</a:t>
          </a:r>
          <a:r>
            <a:rPr lang="en-IN" sz="1400" baseline="0">
              <a:solidFill>
                <a:schemeClr val="accent3">
                  <a:lumMod val="50000"/>
                </a:schemeClr>
              </a:solidFill>
            </a:rPr>
            <a:t> vs ITC | Aurex Research</a:t>
          </a:r>
          <a:endParaRPr lang="en-IN" sz="1400">
            <a:solidFill>
              <a:schemeClr val="accent3">
                <a:lumMod val="50000"/>
              </a:schemeClr>
            </a:solidFill>
          </a:endParaRPr>
        </a:p>
      </xdr:txBody>
    </xdr:sp>
    <xdr:clientData/>
  </xdr:oneCellAnchor>
  <xdr:twoCellAnchor>
    <xdr:from>
      <xdr:col>4</xdr:col>
      <xdr:colOff>512083</xdr:colOff>
      <xdr:row>11</xdr:row>
      <xdr:rowOff>21228</xdr:rowOff>
    </xdr:from>
    <xdr:to>
      <xdr:col>10</xdr:col>
      <xdr:colOff>984</xdr:colOff>
      <xdr:row>23</xdr:row>
      <xdr:rowOff>17931</xdr:rowOff>
    </xdr:to>
    <xdr:graphicFrame macro="">
      <xdr:nvGraphicFramePr>
        <xdr:cNvPr id="4" name="Chart 3">
          <a:extLst>
            <a:ext uri="{FF2B5EF4-FFF2-40B4-BE49-F238E27FC236}">
              <a16:creationId xmlns:a16="http://schemas.microsoft.com/office/drawing/2014/main" id="{E77F8507-9EC8-EBF5-155C-3095E7CD8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512409</xdr:colOff>
      <xdr:row>24</xdr:row>
      <xdr:rowOff>22247</xdr:rowOff>
    </xdr:from>
    <xdr:to>
      <xdr:col>10</xdr:col>
      <xdr:colOff>1311</xdr:colOff>
      <xdr:row>36</xdr:row>
      <xdr:rowOff>1</xdr:rowOff>
    </xdr:to>
    <xdr:graphicFrame macro="">
      <xdr:nvGraphicFramePr>
        <xdr:cNvPr id="5" name="Chart 4">
          <a:extLst>
            <a:ext uri="{FF2B5EF4-FFF2-40B4-BE49-F238E27FC236}">
              <a16:creationId xmlns:a16="http://schemas.microsoft.com/office/drawing/2014/main" id="{08FA9ADE-FCCA-3007-49F5-B051CA1B3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
  <rv s="0">
    <v>https://www.bing.com/financeapi/forcetrigger?t=ahi62w&amp;q=XNSE%3aHINDUNILVR&amp;form=skydnc</v>
    <v>Learn more on Bing</v>
  </rv>
  <rv s="1">
    <v>en-IN</v>
    <v>ahi62w</v>
    <v>268435456</v>
    <v>1</v>
    <v>Powered by Refinitiv</v>
    <v>0</v>
    <v>HINDUSTAN UNILEVER LIMITED (XNSE:HINDUNILVR)</v>
    <v>2</v>
    <v>3</v>
    <v>Finance</v>
    <v>4</v>
    <v>2705.1</v>
    <v>2101.13</v>
    <v>0.74729999999999996</v>
    <v>-20.399999999999999</v>
    <v>-8.8599999999999998E-3</v>
    <v>INR</v>
    <v>Hindustan Unilever Limited is an India-based fast-moving consumer goods company. The Company's segments include Home Care, Beauty &amp; Wellbeing, Personal Care, Foods, and Others (includes Exports, Consignment, etc). Its product categories include skin cleansing, hair care, skin care and color cosmetics, oral care, deodorant and male toiletries, fabric care, household care, nutrition drinks, foods, and beverages. The Company has over 50 brands, including Acne - Squad, Active Wheel 2 in 1, Axe, Boost, Breeze, Brooke Bond 3 Roses, Brooke Bond Red Label, Brooke Bond Taaza, Clinic Plus, Closeup, Comfort, Dermalogica, Domex, Dove, Elle 18, Find Your Happy Place, Glow &amp; Handsome, Glow &amp; Lovely, Hamam, Horlicks, Horlicks Diabetes Plus, Lipton, and Minimalist. Lux is a global brand which offers beauty soaps, shower gels, bath additives, shampoos and others. ELLE 18 brand’s range of cosmetics includes eyeliner, kajal, lipstick, nail polish, compact and foundation.</v>
    <v>18802</v>
    <v>National Stock Exchange of India</v>
    <v>XNSE</v>
    <v>XNSE</v>
    <v>Unilever House,, B D Sawant Marg, Chakala,, Andheri (E), MUMBAI, MAHARASHTRA, 400099 IN</v>
    <v>2305</v>
    <v>Personal &amp; Household Products &amp; Services</v>
    <v>Stock</v>
    <v>46015.492881944447</v>
    <v>0</v>
    <v>2278.1</v>
    <v>5410169000000</v>
    <v>HINDUSTAN UNILEVER LIMITED</v>
    <v>HINDUSTAN UNILEVER LIMITED</v>
    <v>2302.6</v>
    <v>49.69</v>
    <v>2302.6</v>
    <v>2282.1999999999998</v>
    <v>2349591000</v>
    <v>HINDUNILVR</v>
    <v>HINDUSTAN UNILEVER LIMITED (XNSE:HINDUNILVR)</v>
    <v>519380</v>
    <v>1472080</v>
    <v>1933</v>
  </rv>
  <rv s="2">
    <v>1</v>
  </rv>
  <rv s="0">
    <v>https://www.bing.com/financeapi/forcetrigger?t=ahie2w&amp;q=XNSE%3aITC&amp;form=skydnc</v>
    <v>Learn more on Bing</v>
  </rv>
  <rv s="1">
    <v>en-IN</v>
    <v>ahie2w</v>
    <v>268435456</v>
    <v>1</v>
    <v>Powered by Refinitiv</v>
    <v>0</v>
    <v>ITC LIMITED (XNSE:ITC)</v>
    <v>2</v>
    <v>3</v>
    <v>Finance</v>
    <v>4</v>
    <v>471.5</v>
    <v>390.15</v>
    <v>0.74870000000000003</v>
    <v>-0.75</v>
    <v>-1.8410000000000002E-3</v>
    <v>INR</v>
    <v>ITC Limited is an India-based diversified conglomerate company. The Company’s segments include Fast Moving Consumer Goods (FMCG), Paperboards, Paper and Packaging, and Agri Business. The FMCG segment comprises products, such as cigarettes, cigars, education and stationery supplies, personal care items, safety matches, agarbattis, and branded packaged foods, which include staples and meals, snacks, dairy and beverages, biscuits and cakes, chocolates, coffee, and confectionery. The Paperboards, Paper and Packaging segment includes specialty paper and flexible packaging. The Agri Business segment involves trading of agricultural commodities such as wheat, rice, spices, coffee, soya, and leaf tobacco. Its FMCG brands include Aashirvaad, Sunfeast, Yippee!, Bingo!, B Natural, 24 Mantra Organic, ITC Master Chef, Fabelle, Sunbean, Fiama, Vivel, Savlon, Classmate, Paperkraft, Mangaldeep, and others. Its personal care brands feature EDW Essenza, Dermafique, Fiama, Vivel, Engage, and others.</v>
    <v>22041</v>
    <v>National Stock Exchange of India</v>
    <v>XNSE</v>
    <v>XNSE</v>
    <v>Virginia House, 37 Jawaharlal Nehru Road, KOLKATA, WEST BENGAL, 700071 IN</v>
    <v>409.5</v>
    <v>Food &amp; Tobacco</v>
    <v>Stock</v>
    <v>46015.492893518516</v>
    <v>3</v>
    <v>405.65</v>
    <v>5103672000000</v>
    <v>ITC LIMITED</v>
    <v>ITC LIMITED</v>
    <v>407.95</v>
    <v>25.27</v>
    <v>407.35</v>
    <v>406.6</v>
    <v>12528960000</v>
    <v>ITC</v>
    <v>ITC LIMITED (XNSE:ITC)</v>
    <v>5777430</v>
    <v>8936060</v>
    <v>1910</v>
  </rv>
  <rv s="2">
    <v>4</v>
  </rv>
  <rv s="0">
    <v>https://www.bing.com/financeapi/forcetrigger?t=bo61p2&amp;q=IN10Y&amp;form=skydnc</v>
    <v>Learn more on Bing</v>
  </rv>
  <rv s="3">
    <v>en-IN</v>
    <v>bo61p2</v>
    <v>268435456</v>
    <v>1</v>
    <v>Powered by Refinitiv</v>
    <v>5</v>
    <v>India 10Y</v>
    <v>6</v>
    <v>7</v>
    <v>Finance</v>
    <v>8</v>
    <v>0</v>
    <v>0</v>
    <v>IN</v>
    <v>INR</v>
    <v>Bond</v>
    <v>46015.479305555556</v>
    <v>6</v>
    <v>49588</v>
    <v>India 10Y</v>
    <v>6.5410000000000004</v>
    <v>6.5410000000000004</v>
    <v>IN10Y</v>
    <v>India 10Y</v>
    <v>6.5500000000000003E-2</v>
    <v>6.5739999999999993E-2</v>
    <v>6.7739999999999995E-2</v>
    <v>6.6680000000000003E-2</v>
  </rv>
  <rv s="2">
    <v>7</v>
  </rv>
  <rv s="4">
    <v>0</v>
    <v>5</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localImage">
    <k n="_rvRel:LocalImageIdentifier" t="i"/>
    <k n="CalcOrigin" t="i"/>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1</v>
      <v>1</v>
    </spb>
    <spb s="6">
      <v>3</v>
      <v>1</v>
      <v>1</v>
      <v>10</v>
      <v>5</v>
      <v>1</v>
      <v>7</v>
      <v>5</v>
      <v>5</v>
      <v>5</v>
      <v>5</v>
      <v>9</v>
    </spb>
    <spb s="7">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3" formatCode="#,##0"/>
    </x:dxf>
    <x:dxf>
      <x:numFmt numFmtId="4" formatCode="#,##0.00"/>
    </x:dxf>
    <x:dxf>
      <x:numFmt numFmtId="1" formatCode="0"/>
    </x:dxf>
    <x:dxf>
      <x:numFmt numFmtId="0" formatCode="General"/>
    </x:dxf>
    <x:dxf>
      <x:numFmt numFmtId="27" formatCode="yyyy/mm/dd\ hh:mm"/>
    </x:dxf>
    <x:dxf>
      <x:numFmt numFmtId="14" formatCode="0.00%"/>
    </x:dxf>
    <x:dxf>
      <x:numFmt numFmtId="19" formatCode="yyyy/mm/dd"/>
    </x:dxf>
  </dxfs>
  <richProperties>
    <rPr n="NumberFormat" t="s"/>
    <rPr n="IsTitleField" t="b"/>
  </richProperties>
  <richStyles>
    <rSty dxfid="4">
      <rpv i="0" xml:space="preserve">_ [$₹-en-IN] * #,##0.00_ ;_ [$₹-en-IN] * -#,##0.00_ ;_ [$₹-en-IN] * "-"??_ ;_ @_ </rpv>
    </rSty>
    <rSty dxfid="2">
      <rpv i="0">#,##0.00</rpv>
    </rSty>
    <rSty>
      <rpv i="1">1</rpv>
    </rSty>
    <rSty dxfid="1">
      <rpv i="0">#,##0</rpv>
    </rSty>
    <rSty dxfid="6"/>
    <rSty dxfid="4">
      <rpv i="0" xml:space="preserve">_ [$₹-en-IN] * #,##0_ ;_ [$₹-en-IN] * -#,##0_ ;_ [$₹-en-IN] * "-"_ ;_ @_ </rpv>
    </rSty>
    <rSty dxfid="5"/>
    <rSty dxfid="3">
      <rpv i="0">0</rpv>
    </rSty>
    <rSty dxfid="0">
      <rpv i="0">0.00</rpv>
    </rSty>
    <rSty dxfid="7"/>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workbookViewId="0">
      <selection activeCell="B25" sqref="B25"/>
    </sheetView>
  </sheetViews>
  <sheetFormatPr defaultRowHeight="14.4" x14ac:dyDescent="0.3"/>
  <cols>
    <col min="1" max="1" width="13.33203125" style="1" bestFit="1" customWidth="1"/>
    <col min="2" max="2" width="47.109375" style="3" bestFit="1" customWidth="1"/>
    <col min="3" max="16384" width="8.88671875" style="1"/>
  </cols>
  <sheetData>
    <row r="1" spans="1:3" x14ac:dyDescent="0.3">
      <c r="A1" s="120" t="s">
        <v>0</v>
      </c>
      <c r="B1" s="120"/>
      <c r="C1" s="120"/>
    </row>
    <row r="3" spans="1:3" x14ac:dyDescent="0.3">
      <c r="A3" s="4" t="s">
        <v>1</v>
      </c>
      <c r="B3" s="5" t="e" vm="1">
        <v>#VALUE!</v>
      </c>
    </row>
    <row r="4" spans="1:3" x14ac:dyDescent="0.3">
      <c r="A4" s="4" t="s">
        <v>2</v>
      </c>
      <c r="B4" s="5" t="e" vm="2">
        <v>#VALUE!</v>
      </c>
    </row>
    <row r="5" spans="1:3" x14ac:dyDescent="0.3">
      <c r="A5" s="4"/>
      <c r="B5" s="5"/>
    </row>
    <row r="6" spans="1:3" x14ac:dyDescent="0.3">
      <c r="A6" s="4" t="s">
        <v>3</v>
      </c>
      <c r="B6" s="5">
        <v>2025</v>
      </c>
    </row>
    <row r="7" spans="1:3" x14ac:dyDescent="0.3">
      <c r="A7" s="4" t="s">
        <v>4</v>
      </c>
      <c r="B7" s="5">
        <v>2026</v>
      </c>
    </row>
    <row r="8" spans="1:3" x14ac:dyDescent="0.3">
      <c r="A8" s="4" t="s">
        <v>5</v>
      </c>
      <c r="B8" s="5">
        <v>2030</v>
      </c>
    </row>
    <row r="9" spans="1:3" x14ac:dyDescent="0.3">
      <c r="A9" s="4"/>
      <c r="B9" s="5"/>
    </row>
    <row r="10" spans="1:3" x14ac:dyDescent="0.3">
      <c r="A10" s="4" t="s">
        <v>6</v>
      </c>
      <c r="B10" s="5" t="s">
        <v>9</v>
      </c>
    </row>
    <row r="11" spans="1:3" x14ac:dyDescent="0.3">
      <c r="A11" s="4"/>
      <c r="B11" s="5"/>
    </row>
    <row r="12" spans="1:3" x14ac:dyDescent="0.3">
      <c r="A12" s="4" t="s">
        <v>7</v>
      </c>
      <c r="B12" s="5" t="s">
        <v>10</v>
      </c>
    </row>
    <row r="13" spans="1:3" x14ac:dyDescent="0.3">
      <c r="A13" s="4"/>
      <c r="B13" s="5"/>
    </row>
    <row r="14" spans="1:3" x14ac:dyDescent="0.3">
      <c r="A14" s="4" t="s">
        <v>8</v>
      </c>
      <c r="B14" s="5" t="s">
        <v>12</v>
      </c>
    </row>
    <row r="16" spans="1:3" x14ac:dyDescent="0.3">
      <c r="A16" s="6" t="s">
        <v>11</v>
      </c>
      <c r="B16" s="7">
        <f>MATCH(B14,{"Base","Mild","Severe","Upside"},0)</f>
        <v>1</v>
      </c>
    </row>
  </sheetData>
  <mergeCells count="1">
    <mergeCell ref="A1:C1"/>
  </mergeCells>
  <dataValidations count="1">
    <dataValidation type="list" allowBlank="1" showInputMessage="1" showErrorMessage="1" sqref="B14" xr:uid="{325A75EA-26C2-436F-B09A-23ABDD719040}">
      <formula1>"Base,Mild,Severe,Upside"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89CD8-249C-462A-BDD3-9D54C141DADB}">
  <dimension ref="A1:D14"/>
  <sheetViews>
    <sheetView workbookViewId="0">
      <selection activeCell="G19" sqref="G19"/>
    </sheetView>
  </sheetViews>
  <sheetFormatPr defaultRowHeight="14.4" x14ac:dyDescent="0.3"/>
  <cols>
    <col min="1" max="1" width="25.44140625" style="1" bestFit="1" customWidth="1"/>
    <col min="2" max="3" width="8.88671875" style="9"/>
    <col min="4" max="16384" width="8.88671875" style="1"/>
  </cols>
  <sheetData>
    <row r="1" spans="1:4" x14ac:dyDescent="0.3">
      <c r="A1" s="120" t="s">
        <v>13</v>
      </c>
      <c r="B1" s="120"/>
      <c r="C1" s="120"/>
      <c r="D1" s="120"/>
    </row>
    <row r="2" spans="1:4" x14ac:dyDescent="0.3">
      <c r="B2" s="8"/>
      <c r="C2" s="8"/>
    </row>
    <row r="3" spans="1:4" x14ac:dyDescent="0.3">
      <c r="B3" s="11" t="s">
        <v>14</v>
      </c>
      <c r="C3" s="11" t="s">
        <v>15</v>
      </c>
    </row>
    <row r="4" spans="1:4" x14ac:dyDescent="0.3">
      <c r="B4" s="8"/>
      <c r="C4" s="8"/>
    </row>
    <row r="5" spans="1:4" x14ac:dyDescent="0.3">
      <c r="A5" s="2" t="s">
        <v>16</v>
      </c>
      <c r="B5" s="10">
        <f>CHOOSE(MATCH(Control!B14,{"Base","Mild","Severe","Upside"},0),Stress_Helper!B13,Stress_Helper!B14,Stress_Helper!B15,Stress_Helper!B16)</f>
        <v>2.256392783850247E-2</v>
      </c>
      <c r="C5" s="10">
        <f>CHOOSE(MATCH(Control!B14,{"Base","Mild","Severe","Upside"},0),Stress_Helper!B21,Stress_Helper!B22,Stress_Helper!B23,Stress_Helper!B24)</f>
        <v>9.2556862067333032E-2</v>
      </c>
    </row>
    <row r="6" spans="1:4" x14ac:dyDescent="0.3">
      <c r="A6" s="2" t="s">
        <v>17</v>
      </c>
      <c r="B6" s="10">
        <v>0.23350000000000001</v>
      </c>
      <c r="C6" s="10">
        <v>0.31588396513108646</v>
      </c>
    </row>
    <row r="7" spans="1:4" x14ac:dyDescent="0.3">
      <c r="A7" s="2" t="s">
        <v>18</v>
      </c>
      <c r="B7" s="10">
        <f>CHOOSE(MATCH(Control!B14,{"Base","Mild","Severe","Upside"},0),Stress_Helper!C13,Stress_Helper!C14,Stress_Helper!C15,Stress_Helper!C16)</f>
        <v>0.22600000000000001</v>
      </c>
      <c r="C7" s="10">
        <f>CHOOSE(MATCH(Control!B14,{"Base","Mild","Severe","Upside"},0),Stress_Helper!C21,Stress_Helper!C22,Stress_Helper!C23,Stress_Helper!C24)</f>
        <v>0.308</v>
      </c>
    </row>
    <row r="8" spans="1:4" x14ac:dyDescent="0.3">
      <c r="A8" s="2" t="s">
        <v>19</v>
      </c>
      <c r="B8" s="10">
        <v>0.25</v>
      </c>
      <c r="C8" s="10">
        <v>0.25</v>
      </c>
    </row>
    <row r="9" spans="1:4" x14ac:dyDescent="0.3">
      <c r="A9" s="2" t="s">
        <v>55</v>
      </c>
      <c r="B9" s="10">
        <v>0.503</v>
      </c>
      <c r="C9" s="10">
        <v>0.61129999999999995</v>
      </c>
    </row>
    <row r="10" spans="1:4" x14ac:dyDescent="0.3">
      <c r="A10" s="2"/>
      <c r="B10" s="10"/>
      <c r="C10" s="10"/>
    </row>
    <row r="11" spans="1:4" x14ac:dyDescent="0.3">
      <c r="A11" s="2" t="s">
        <v>20</v>
      </c>
      <c r="B11" s="10">
        <v>0.95</v>
      </c>
      <c r="C11" s="10">
        <v>0.50730276431225407</v>
      </c>
    </row>
    <row r="12" spans="1:4" x14ac:dyDescent="0.3">
      <c r="A12" s="2" t="s">
        <v>21</v>
      </c>
      <c r="B12" s="10">
        <f>1-B11</f>
        <v>5.0000000000000044E-2</v>
      </c>
      <c r="C12" s="10">
        <f>1-C11</f>
        <v>0.49269723568774593</v>
      </c>
    </row>
    <row r="13" spans="1:4" x14ac:dyDescent="0.3">
      <c r="A13" s="2"/>
      <c r="B13" s="10"/>
      <c r="C13" s="10"/>
    </row>
    <row r="14" spans="1:4" x14ac:dyDescent="0.3">
      <c r="A14" s="2" t="s">
        <v>22</v>
      </c>
      <c r="B14" s="10">
        <f>Sensitivity!J5</f>
        <v>0.03</v>
      </c>
      <c r="C14" s="10">
        <f>Sensitivity!K5</f>
        <v>0.03</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66E7-278B-4D62-9919-B4F397286FC4}">
  <dimension ref="A1:K13"/>
  <sheetViews>
    <sheetView workbookViewId="0">
      <selection activeCell="G17" sqref="G17"/>
    </sheetView>
  </sheetViews>
  <sheetFormatPr defaultRowHeight="14.4" x14ac:dyDescent="0.3"/>
  <cols>
    <col min="1" max="1" width="17" style="1" bestFit="1" customWidth="1"/>
    <col min="2" max="2" width="9.21875" style="8" customWidth="1"/>
    <col min="3" max="6" width="8.88671875" style="8"/>
    <col min="7" max="16384" width="8.88671875" style="1"/>
  </cols>
  <sheetData>
    <row r="1" spans="1:11" x14ac:dyDescent="0.3">
      <c r="A1" s="120" t="s">
        <v>23</v>
      </c>
      <c r="B1" s="120"/>
      <c r="C1" s="120"/>
    </row>
    <row r="4" spans="1:11" x14ac:dyDescent="0.3">
      <c r="B4" s="98" t="s">
        <v>26</v>
      </c>
      <c r="C4" s="98" t="s">
        <v>27</v>
      </c>
      <c r="D4" s="98" t="s">
        <v>28</v>
      </c>
      <c r="E4" s="98" t="s">
        <v>29</v>
      </c>
      <c r="F4" s="99" t="s">
        <v>30</v>
      </c>
      <c r="G4" s="100" t="s">
        <v>137</v>
      </c>
      <c r="H4" s="100" t="s">
        <v>138</v>
      </c>
      <c r="I4" s="100" t="s">
        <v>139</v>
      </c>
      <c r="J4" s="100" t="s">
        <v>140</v>
      </c>
      <c r="K4" s="100" t="s">
        <v>141</v>
      </c>
    </row>
    <row r="5" spans="1:11" x14ac:dyDescent="0.3">
      <c r="A5" s="103" t="s">
        <v>14</v>
      </c>
      <c r="B5" s="104"/>
      <c r="C5" s="104"/>
      <c r="D5" s="104"/>
      <c r="E5" s="104"/>
      <c r="F5" s="104"/>
      <c r="G5" s="105"/>
      <c r="H5" s="105"/>
      <c r="I5" s="105"/>
      <c r="J5" s="105"/>
      <c r="K5" s="106"/>
    </row>
    <row r="6" spans="1:11" x14ac:dyDescent="0.3">
      <c r="A6" s="101" t="s">
        <v>18</v>
      </c>
      <c r="B6" s="102">
        <f>Assumptions!$B$7</f>
        <v>0.22600000000000001</v>
      </c>
      <c r="C6" s="102">
        <f>B6+0.002</f>
        <v>0.22800000000000001</v>
      </c>
      <c r="D6" s="102">
        <f t="shared" ref="D6:K6" si="0">C6+0.002</f>
        <v>0.23</v>
      </c>
      <c r="E6" s="102">
        <f t="shared" si="0"/>
        <v>0.23200000000000001</v>
      </c>
      <c r="F6" s="102">
        <f t="shared" si="0"/>
        <v>0.23400000000000001</v>
      </c>
      <c r="G6" s="102">
        <f t="shared" si="0"/>
        <v>0.23600000000000002</v>
      </c>
      <c r="H6" s="102">
        <f t="shared" si="0"/>
        <v>0.23800000000000002</v>
      </c>
      <c r="I6" s="102">
        <f t="shared" si="0"/>
        <v>0.24000000000000002</v>
      </c>
      <c r="J6" s="102">
        <f t="shared" si="0"/>
        <v>0.24200000000000002</v>
      </c>
      <c r="K6" s="102">
        <f t="shared" si="0"/>
        <v>0.24400000000000002</v>
      </c>
    </row>
    <row r="7" spans="1:11" x14ac:dyDescent="0.3">
      <c r="A7" s="4" t="s">
        <v>24</v>
      </c>
      <c r="B7" s="14">
        <f>B8/B6</f>
        <v>4.7876106194690271</v>
      </c>
      <c r="C7" s="14">
        <f>$B$7</f>
        <v>4.7876106194690271</v>
      </c>
      <c r="D7" s="14">
        <f t="shared" ref="D7:K7" si="1">$B$7</f>
        <v>4.7876106194690271</v>
      </c>
      <c r="E7" s="14">
        <f t="shared" si="1"/>
        <v>4.7876106194690271</v>
      </c>
      <c r="F7" s="14">
        <f t="shared" si="1"/>
        <v>4.7876106194690271</v>
      </c>
      <c r="G7" s="14">
        <f t="shared" si="1"/>
        <v>4.7876106194690271</v>
      </c>
      <c r="H7" s="14">
        <f t="shared" si="1"/>
        <v>4.7876106194690271</v>
      </c>
      <c r="I7" s="14">
        <f t="shared" si="1"/>
        <v>4.7876106194690271</v>
      </c>
      <c r="J7" s="14">
        <f t="shared" si="1"/>
        <v>4.7876106194690271</v>
      </c>
      <c r="K7" s="14">
        <f t="shared" si="1"/>
        <v>4.7876106194690271</v>
      </c>
    </row>
    <row r="8" spans="1:11" x14ac:dyDescent="0.3">
      <c r="A8" s="107" t="s">
        <v>25</v>
      </c>
      <c r="B8" s="108">
        <v>1.0820000000000001</v>
      </c>
      <c r="C8" s="108">
        <f>C6*C7</f>
        <v>1.0915752212389382</v>
      </c>
      <c r="D8" s="108">
        <f t="shared" ref="D8:F8" si="2">D6*D7</f>
        <v>1.1011504424778762</v>
      </c>
      <c r="E8" s="108">
        <f t="shared" si="2"/>
        <v>1.1107256637168144</v>
      </c>
      <c r="F8" s="108">
        <f t="shared" si="2"/>
        <v>1.1203008849557523</v>
      </c>
      <c r="G8" s="108">
        <f t="shared" ref="G8" si="3">G6*G7</f>
        <v>1.1298761061946905</v>
      </c>
      <c r="H8" s="108">
        <f t="shared" ref="H8" si="4">H6*H7</f>
        <v>1.1394513274336284</v>
      </c>
      <c r="I8" s="108">
        <f t="shared" ref="I8" si="5">I6*I7</f>
        <v>1.1490265486725666</v>
      </c>
      <c r="J8" s="108">
        <f t="shared" ref="J8" si="6">J6*J7</f>
        <v>1.1586017699115048</v>
      </c>
      <c r="K8" s="108">
        <f t="shared" ref="K8" si="7">K6*K7</f>
        <v>1.1681769911504427</v>
      </c>
    </row>
    <row r="9" spans="1:11" x14ac:dyDescent="0.3">
      <c r="A9" s="2"/>
    </row>
    <row r="10" spans="1:11" x14ac:dyDescent="0.3">
      <c r="A10" s="103" t="s">
        <v>15</v>
      </c>
      <c r="B10" s="104"/>
      <c r="C10" s="104"/>
      <c r="D10" s="104"/>
      <c r="E10" s="104"/>
      <c r="F10" s="104"/>
      <c r="G10" s="105"/>
      <c r="H10" s="105"/>
      <c r="I10" s="105"/>
      <c r="J10" s="105"/>
      <c r="K10" s="106"/>
    </row>
    <row r="11" spans="1:11" x14ac:dyDescent="0.3">
      <c r="A11" s="101" t="s">
        <v>18</v>
      </c>
      <c r="B11" s="102">
        <f>Assumptions!$C$7</f>
        <v>0.308</v>
      </c>
      <c r="C11" s="102">
        <f>B11+0.002</f>
        <v>0.31</v>
      </c>
      <c r="D11" s="102">
        <f t="shared" ref="D11:F11" si="8">C11+0.002</f>
        <v>0.312</v>
      </c>
      <c r="E11" s="102">
        <f t="shared" si="8"/>
        <v>0.314</v>
      </c>
      <c r="F11" s="102">
        <f t="shared" si="8"/>
        <v>0.316</v>
      </c>
      <c r="G11" s="102">
        <f t="shared" ref="G11" si="9">F11+0.002</f>
        <v>0.318</v>
      </c>
      <c r="H11" s="102">
        <f t="shared" ref="H11" si="10">G11+0.002</f>
        <v>0.32</v>
      </c>
      <c r="I11" s="102">
        <f t="shared" ref="I11" si="11">H11+0.002</f>
        <v>0.32200000000000001</v>
      </c>
      <c r="J11" s="102">
        <f t="shared" ref="J11" si="12">I11+0.002</f>
        <v>0.32400000000000001</v>
      </c>
      <c r="K11" s="102">
        <f t="shared" ref="K11" si="13">J11+0.002</f>
        <v>0.32600000000000001</v>
      </c>
    </row>
    <row r="12" spans="1:11" x14ac:dyDescent="0.3">
      <c r="A12" s="4" t="s">
        <v>24</v>
      </c>
      <c r="B12" s="14">
        <f>B13/B11</f>
        <v>1.2594155844155845</v>
      </c>
      <c r="C12" s="14">
        <f>$B$12</f>
        <v>1.2594155844155845</v>
      </c>
      <c r="D12" s="14">
        <f t="shared" ref="D12:K12" si="14">$B$12</f>
        <v>1.2594155844155845</v>
      </c>
      <c r="E12" s="14">
        <f t="shared" si="14"/>
        <v>1.2594155844155845</v>
      </c>
      <c r="F12" s="14">
        <f t="shared" si="14"/>
        <v>1.2594155844155845</v>
      </c>
      <c r="G12" s="14">
        <f t="shared" si="14"/>
        <v>1.2594155844155845</v>
      </c>
      <c r="H12" s="14">
        <f t="shared" si="14"/>
        <v>1.2594155844155845</v>
      </c>
      <c r="I12" s="14">
        <f t="shared" si="14"/>
        <v>1.2594155844155845</v>
      </c>
      <c r="J12" s="14">
        <f t="shared" si="14"/>
        <v>1.2594155844155845</v>
      </c>
      <c r="K12" s="14">
        <f t="shared" si="14"/>
        <v>1.2594155844155845</v>
      </c>
    </row>
    <row r="13" spans="1:11" x14ac:dyDescent="0.3">
      <c r="A13" s="107" t="s">
        <v>25</v>
      </c>
      <c r="B13" s="108">
        <v>0.38790000000000002</v>
      </c>
      <c r="C13" s="108">
        <f>C11*C12</f>
        <v>0.39041883116883119</v>
      </c>
      <c r="D13" s="108">
        <f t="shared" ref="D13:F13" si="15">D11*D12</f>
        <v>0.39293766233766236</v>
      </c>
      <c r="E13" s="108">
        <f t="shared" si="15"/>
        <v>0.39545649350649353</v>
      </c>
      <c r="F13" s="108">
        <f t="shared" si="15"/>
        <v>0.3979753246753247</v>
      </c>
      <c r="G13" s="108">
        <f t="shared" ref="G13" si="16">G11*G12</f>
        <v>0.40049415584415587</v>
      </c>
      <c r="H13" s="108">
        <f t="shared" ref="H13" si="17">H11*H12</f>
        <v>0.40301298701298705</v>
      </c>
      <c r="I13" s="108">
        <f t="shared" ref="I13" si="18">I11*I12</f>
        <v>0.40553181818181822</v>
      </c>
      <c r="J13" s="108">
        <f t="shared" ref="J13" si="19">J11*J12</f>
        <v>0.40805064935064939</v>
      </c>
      <c r="K13" s="108">
        <f t="shared" ref="K13" si="20">K11*K12</f>
        <v>0.41056948051948056</v>
      </c>
    </row>
  </sheetData>
  <mergeCells count="1">
    <mergeCell ref="A1:C1"/>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C260-4991-4671-A4C1-61126F4E8726}">
  <dimension ref="A1:L12"/>
  <sheetViews>
    <sheetView workbookViewId="0">
      <selection activeCell="K16" sqref="K16"/>
    </sheetView>
  </sheetViews>
  <sheetFormatPr defaultRowHeight="14.4" x14ac:dyDescent="0.3"/>
  <cols>
    <col min="1" max="1" width="13.77734375" style="1" bestFit="1" customWidth="1"/>
    <col min="2" max="3" width="9.88671875" style="8" bestFit="1" customWidth="1"/>
    <col min="4" max="7" width="10.88671875" style="8" bestFit="1" customWidth="1"/>
    <col min="8" max="12" width="10.88671875" style="1" bestFit="1" customWidth="1"/>
    <col min="13" max="16384" width="8.88671875" style="1"/>
  </cols>
  <sheetData>
    <row r="1" spans="1:12" x14ac:dyDescent="0.3">
      <c r="A1" s="120" t="s">
        <v>31</v>
      </c>
      <c r="B1" s="120"/>
      <c r="C1" s="120"/>
    </row>
    <row r="3" spans="1:12" x14ac:dyDescent="0.3">
      <c r="B3" s="12" t="s">
        <v>39</v>
      </c>
      <c r="C3" s="12" t="s">
        <v>34</v>
      </c>
      <c r="D3" s="12" t="s">
        <v>35</v>
      </c>
      <c r="E3" s="12" t="s">
        <v>36</v>
      </c>
      <c r="F3" s="12" t="s">
        <v>37</v>
      </c>
      <c r="G3" s="12" t="s">
        <v>38</v>
      </c>
      <c r="H3" s="12" t="s">
        <v>142</v>
      </c>
      <c r="I3" s="12" t="s">
        <v>143</v>
      </c>
      <c r="J3" s="12" t="s">
        <v>144</v>
      </c>
      <c r="K3" s="12" t="s">
        <v>145</v>
      </c>
      <c r="L3" s="12" t="s">
        <v>146</v>
      </c>
    </row>
    <row r="5" spans="1:12" x14ac:dyDescent="0.3">
      <c r="A5" s="112" t="s">
        <v>14</v>
      </c>
      <c r="B5" s="113"/>
      <c r="C5" s="113"/>
      <c r="D5" s="113"/>
      <c r="E5" s="113"/>
      <c r="F5" s="113"/>
      <c r="G5" s="113"/>
      <c r="H5" s="114"/>
      <c r="I5" s="114"/>
      <c r="J5" s="114"/>
      <c r="K5" s="114"/>
      <c r="L5" s="115"/>
    </row>
    <row r="6" spans="1:12" x14ac:dyDescent="0.3">
      <c r="A6" s="109" t="s">
        <v>32</v>
      </c>
      <c r="B6" s="110">
        <v>64138</v>
      </c>
      <c r="C6" s="111">
        <f>B6*(1+B7)</f>
        <v>65585.20520370586</v>
      </c>
      <c r="D6" s="111">
        <f t="shared" ref="D6:G6" si="0">C6*(1+C7)</f>
        <v>67196.235451603061</v>
      </c>
      <c r="E6" s="111">
        <f t="shared" si="0"/>
        <v>68981.231401158453</v>
      </c>
      <c r="F6" s="111">
        <f t="shared" si="0"/>
        <v>70951.606317112179</v>
      </c>
      <c r="G6" s="111">
        <f t="shared" si="0"/>
        <v>73120.166092614221</v>
      </c>
      <c r="H6" s="111">
        <f t="shared" ref="H6" si="1">G6*(1+G7)</f>
        <v>75501.245904793424</v>
      </c>
      <c r="I6" s="111">
        <f t="shared" ref="I6" si="2">H6*(1+H7)</f>
        <v>78337.369257678118</v>
      </c>
      <c r="J6" s="111">
        <f t="shared" ref="J6" si="3">I6*(1+I7)</f>
        <v>81671.715389820049</v>
      </c>
      <c r="K6" s="111">
        <f t="shared" ref="K6" si="4">J6*(1+J7)</f>
        <v>85556.342967068165</v>
      </c>
      <c r="L6" s="111">
        <f t="shared" ref="L6" si="5">K6*(1+K7)</f>
        <v>90053.520404915296</v>
      </c>
    </row>
    <row r="7" spans="1:12" x14ac:dyDescent="0.3">
      <c r="A7" s="6" t="s">
        <v>33</v>
      </c>
      <c r="B7" s="16">
        <f>Assumptions!B5</f>
        <v>2.256392783850247E-2</v>
      </c>
      <c r="C7" s="17">
        <f>B7+0.2%</f>
        <v>2.4563927838502468E-2</v>
      </c>
      <c r="D7" s="17">
        <f t="shared" ref="D7:G7" si="6">C7+0.2%</f>
        <v>2.656392783850247E-2</v>
      </c>
      <c r="E7" s="17">
        <f>D7+0.2%</f>
        <v>2.8563927838502472E-2</v>
      </c>
      <c r="F7" s="17">
        <f t="shared" si="6"/>
        <v>3.0563927838502473E-2</v>
      </c>
      <c r="G7" s="17">
        <f t="shared" si="6"/>
        <v>3.2563927838502475E-2</v>
      </c>
      <c r="H7" s="17">
        <f>G7+0.5%</f>
        <v>3.7563927838502473E-2</v>
      </c>
      <c r="I7" s="17">
        <f t="shared" ref="I7:L7" si="7">H7+0.5%</f>
        <v>4.256392783850247E-2</v>
      </c>
      <c r="J7" s="17">
        <f t="shared" si="7"/>
        <v>4.7563927838502468E-2</v>
      </c>
      <c r="K7" s="17">
        <f t="shared" si="7"/>
        <v>5.2563927838502465E-2</v>
      </c>
      <c r="L7" s="17">
        <f t="shared" si="7"/>
        <v>5.7563927838502463E-2</v>
      </c>
    </row>
    <row r="10" spans="1:12" x14ac:dyDescent="0.3">
      <c r="A10" s="112" t="s">
        <v>15</v>
      </c>
      <c r="B10" s="113"/>
      <c r="C10" s="113"/>
      <c r="D10" s="113"/>
      <c r="E10" s="113"/>
      <c r="F10" s="113"/>
      <c r="G10" s="113"/>
      <c r="H10" s="114"/>
      <c r="I10" s="114"/>
      <c r="J10" s="114"/>
      <c r="K10" s="114"/>
      <c r="L10" s="115"/>
    </row>
    <row r="11" spans="1:12" x14ac:dyDescent="0.3">
      <c r="A11" s="109" t="s">
        <v>32</v>
      </c>
      <c r="B11" s="110">
        <v>84142.47</v>
      </c>
      <c r="C11" s="111">
        <f>B11*(1+B12)</f>
        <v>91930.432989794703</v>
      </c>
      <c r="D11" s="111">
        <f t="shared" ref="D11:G11" si="8">C11*(1+C12)</f>
        <v>100623.08626180091</v>
      </c>
      <c r="E11" s="111">
        <f t="shared" si="8"/>
        <v>110338.93572277097</v>
      </c>
      <c r="F11" s="111">
        <f t="shared" si="8"/>
        <v>121213.59499145643</v>
      </c>
      <c r="G11" s="111">
        <f t="shared" si="8"/>
        <v>133402.45374369787</v>
      </c>
      <c r="H11" s="111">
        <f t="shared" ref="H11" si="9">G11*(1+G12)</f>
        <v>147083.79079173406</v>
      </c>
      <c r="I11" s="111">
        <f t="shared" ref="I11" si="10">H11*(1+H12)</f>
        <v>161874.07525471892</v>
      </c>
      <c r="J11" s="111">
        <f t="shared" ref="J11" si="11">I11*(1+I12)</f>
        <v>177827.87616187532</v>
      </c>
      <c r="K11" s="111">
        <f t="shared" ref="K11" si="12">J11*(1+J12)</f>
        <v>194998.37787216427</v>
      </c>
      <c r="L11" s="111">
        <f t="shared" ref="L11" si="13">K11*(1+K12)</f>
        <v>213436.81259197617</v>
      </c>
    </row>
    <row r="12" spans="1:12" x14ac:dyDescent="0.3">
      <c r="A12" s="6" t="s">
        <v>33</v>
      </c>
      <c r="B12" s="16">
        <f>Assumptions!C5</f>
        <v>9.2556862067333032E-2</v>
      </c>
      <c r="C12" s="17">
        <f>B12+0.2%</f>
        <v>9.4556862067333033E-2</v>
      </c>
      <c r="D12" s="17">
        <f t="shared" ref="D12:G12" si="14">C12+0.2%</f>
        <v>9.6556862067333035E-2</v>
      </c>
      <c r="E12" s="17">
        <f t="shared" si="14"/>
        <v>9.8556862067333037E-2</v>
      </c>
      <c r="F12" s="17">
        <f t="shared" si="14"/>
        <v>0.10055686206733304</v>
      </c>
      <c r="G12" s="17">
        <f t="shared" si="14"/>
        <v>0.10255686206733304</v>
      </c>
      <c r="H12" s="17">
        <f>G12-0.2%</f>
        <v>0.10055686206733304</v>
      </c>
      <c r="I12" s="17">
        <f t="shared" ref="I12:L12" si="15">H12-0.2%</f>
        <v>9.8556862067333037E-2</v>
      </c>
      <c r="J12" s="17">
        <f t="shared" si="15"/>
        <v>9.6556862067333035E-2</v>
      </c>
      <c r="K12" s="17">
        <f t="shared" si="15"/>
        <v>9.4556862067333033E-2</v>
      </c>
      <c r="L12" s="17">
        <f t="shared" si="15"/>
        <v>9.2556862067333032E-2</v>
      </c>
    </row>
  </sheetData>
  <mergeCells count="1">
    <mergeCell ref="A1:C1"/>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E4FC-77FE-4983-A0D1-F2F564979230}">
  <dimension ref="A1:L20"/>
  <sheetViews>
    <sheetView topLeftCell="B1" workbookViewId="0">
      <selection activeCell="B3" sqref="B3:L3"/>
    </sheetView>
  </sheetViews>
  <sheetFormatPr defaultRowHeight="14.4" x14ac:dyDescent="0.3"/>
  <cols>
    <col min="1" max="1" width="16.21875" style="1" bestFit="1" customWidth="1"/>
    <col min="2" max="3" width="9.88671875" style="1" bestFit="1" customWidth="1"/>
    <col min="4" max="12" width="10.88671875" style="1" bestFit="1" customWidth="1"/>
    <col min="13" max="16384" width="8.88671875" style="1"/>
  </cols>
  <sheetData>
    <row r="1" spans="1:12" x14ac:dyDescent="0.3">
      <c r="A1" s="120" t="s">
        <v>40</v>
      </c>
      <c r="B1" s="120"/>
      <c r="C1" s="120"/>
    </row>
    <row r="3" spans="1:12" x14ac:dyDescent="0.3">
      <c r="B3" s="116" t="s">
        <v>39</v>
      </c>
      <c r="C3" s="113" t="s">
        <v>34</v>
      </c>
      <c r="D3" s="113" t="s">
        <v>35</v>
      </c>
      <c r="E3" s="113" t="s">
        <v>36</v>
      </c>
      <c r="F3" s="113" t="s">
        <v>37</v>
      </c>
      <c r="G3" s="113" t="s">
        <v>38</v>
      </c>
      <c r="H3" s="113" t="s">
        <v>142</v>
      </c>
      <c r="I3" s="113" t="s">
        <v>143</v>
      </c>
      <c r="J3" s="113" t="s">
        <v>144</v>
      </c>
      <c r="K3" s="113" t="s">
        <v>145</v>
      </c>
      <c r="L3" s="117" t="s">
        <v>146</v>
      </c>
    </row>
    <row r="4" spans="1:12" x14ac:dyDescent="0.3">
      <c r="B4" s="13"/>
      <c r="C4" s="13"/>
      <c r="D4" s="13"/>
      <c r="E4" s="13"/>
      <c r="F4" s="13"/>
      <c r="G4" s="13"/>
    </row>
    <row r="5" spans="1:12" x14ac:dyDescent="0.3">
      <c r="A5" s="71" t="s">
        <v>14</v>
      </c>
      <c r="B5" s="119"/>
      <c r="C5" s="119"/>
      <c r="D5" s="119"/>
      <c r="E5" s="119"/>
      <c r="F5" s="119"/>
      <c r="G5" s="119"/>
      <c r="H5" s="105"/>
      <c r="I5" s="105"/>
      <c r="J5" s="105"/>
      <c r="K5" s="105"/>
      <c r="L5" s="106"/>
    </row>
    <row r="6" spans="1:12" x14ac:dyDescent="0.3">
      <c r="A6" s="109" t="s">
        <v>32</v>
      </c>
      <c r="B6" s="118">
        <f>Revenue_Drivers!B6</f>
        <v>64138</v>
      </c>
      <c r="C6" s="118">
        <f>Revenue_Drivers!C6</f>
        <v>65585.20520370586</v>
      </c>
      <c r="D6" s="118">
        <f>Revenue_Drivers!D6</f>
        <v>67196.235451603061</v>
      </c>
      <c r="E6" s="118">
        <f>Revenue_Drivers!E6</f>
        <v>68981.231401158453</v>
      </c>
      <c r="F6" s="118">
        <f>Revenue_Drivers!F6</f>
        <v>70951.606317112179</v>
      </c>
      <c r="G6" s="118">
        <f>Revenue_Drivers!G6</f>
        <v>73120.166092614221</v>
      </c>
      <c r="H6" s="118">
        <f>Revenue_Drivers!H6</f>
        <v>75501.245904793424</v>
      </c>
      <c r="I6" s="118">
        <f>Revenue_Drivers!I6</f>
        <v>78337.369257678118</v>
      </c>
      <c r="J6" s="118">
        <f>Revenue_Drivers!J6</f>
        <v>81671.715389820049</v>
      </c>
      <c r="K6" s="118">
        <f>Revenue_Drivers!K6</f>
        <v>85556.342967068165</v>
      </c>
      <c r="L6" s="118">
        <f>Revenue_Drivers!L6</f>
        <v>90053.520404915296</v>
      </c>
    </row>
    <row r="7" spans="1:12" x14ac:dyDescent="0.3">
      <c r="A7" s="6" t="s">
        <v>41</v>
      </c>
      <c r="B7" s="16">
        <f>Assumptions!$B$6</f>
        <v>0.23350000000000001</v>
      </c>
      <c r="C7" s="16">
        <f>Assumptions!$B$6</f>
        <v>0.23350000000000001</v>
      </c>
      <c r="D7" s="16">
        <f>Assumptions!$B$6</f>
        <v>0.23350000000000001</v>
      </c>
      <c r="E7" s="16">
        <f>Assumptions!$B$6</f>
        <v>0.23350000000000001</v>
      </c>
      <c r="F7" s="16">
        <f>Assumptions!$B$6</f>
        <v>0.23350000000000001</v>
      </c>
      <c r="G7" s="16">
        <f>Assumptions!$B$6</f>
        <v>0.23350000000000001</v>
      </c>
      <c r="H7" s="16">
        <f>Assumptions!$B$6</f>
        <v>0.23350000000000001</v>
      </c>
      <c r="I7" s="16">
        <f>Assumptions!$B$6</f>
        <v>0.23350000000000001</v>
      </c>
      <c r="J7" s="16">
        <f>Assumptions!$B$6</f>
        <v>0.23350000000000001</v>
      </c>
      <c r="K7" s="16">
        <f>Assumptions!$B$6</f>
        <v>0.23350000000000001</v>
      </c>
      <c r="L7" s="16">
        <f>Assumptions!$B$6</f>
        <v>0.23350000000000001</v>
      </c>
    </row>
    <row r="8" spans="1:12" x14ac:dyDescent="0.3">
      <c r="A8" s="6" t="s">
        <v>42</v>
      </c>
      <c r="B8" s="20">
        <f>B6*B7</f>
        <v>14976.223</v>
      </c>
      <c r="C8" s="20">
        <f t="shared" ref="C8:L8" si="0">C6*C7</f>
        <v>15314.145415065319</v>
      </c>
      <c r="D8" s="20">
        <f t="shared" si="0"/>
        <v>15690.320977949315</v>
      </c>
      <c r="E8" s="20">
        <f t="shared" si="0"/>
        <v>16107.1175321705</v>
      </c>
      <c r="F8" s="20">
        <f t="shared" si="0"/>
        <v>16567.200075045694</v>
      </c>
      <c r="G8" s="20">
        <f t="shared" si="0"/>
        <v>17073.558782625423</v>
      </c>
      <c r="H8" s="20">
        <f t="shared" si="0"/>
        <v>17629.540918769264</v>
      </c>
      <c r="I8" s="20">
        <f t="shared" si="0"/>
        <v>18291.77572166784</v>
      </c>
      <c r="J8" s="20">
        <f t="shared" si="0"/>
        <v>19070.345543522981</v>
      </c>
      <c r="K8" s="20">
        <f t="shared" si="0"/>
        <v>19977.406082810419</v>
      </c>
      <c r="L8" s="20">
        <f t="shared" si="0"/>
        <v>21027.497014547724</v>
      </c>
    </row>
    <row r="9" spans="1:12" x14ac:dyDescent="0.3">
      <c r="A9" s="6" t="s">
        <v>18</v>
      </c>
      <c r="B9" s="16">
        <f>Assumptions!B7</f>
        <v>0.22600000000000001</v>
      </c>
      <c r="C9" s="16">
        <f>ROCE_Drivers!B6</f>
        <v>0.22600000000000001</v>
      </c>
      <c r="D9" s="16">
        <f>ROCE_Drivers!C6</f>
        <v>0.22800000000000001</v>
      </c>
      <c r="E9" s="16">
        <f>ROCE_Drivers!D6</f>
        <v>0.23</v>
      </c>
      <c r="F9" s="16">
        <f>ROCE_Drivers!E6</f>
        <v>0.23200000000000001</v>
      </c>
      <c r="G9" s="16">
        <f>ROCE_Drivers!F6</f>
        <v>0.23400000000000001</v>
      </c>
      <c r="H9" s="16">
        <f>ROCE_Drivers!G6</f>
        <v>0.23600000000000002</v>
      </c>
      <c r="I9" s="16">
        <f>ROCE_Drivers!H6</f>
        <v>0.23800000000000002</v>
      </c>
      <c r="J9" s="16">
        <f>ROCE_Drivers!I6</f>
        <v>0.24000000000000002</v>
      </c>
      <c r="K9" s="16">
        <f>ROCE_Drivers!J6</f>
        <v>0.24200000000000002</v>
      </c>
      <c r="L9" s="16">
        <f>ROCE_Drivers!K6</f>
        <v>0.24400000000000002</v>
      </c>
    </row>
    <row r="10" spans="1:12" x14ac:dyDescent="0.3">
      <c r="A10" s="6" t="s">
        <v>43</v>
      </c>
      <c r="B10" s="20">
        <f>B6*B9</f>
        <v>14495.188</v>
      </c>
      <c r="C10" s="20">
        <f t="shared" ref="C10:G10" si="1">C6*C9</f>
        <v>14822.256376037525</v>
      </c>
      <c r="D10" s="20">
        <f t="shared" si="1"/>
        <v>15320.741682965498</v>
      </c>
      <c r="E10" s="20">
        <f t="shared" si="1"/>
        <v>15865.683222266445</v>
      </c>
      <c r="F10" s="20">
        <f t="shared" si="1"/>
        <v>16460.772665570028</v>
      </c>
      <c r="G10" s="20">
        <f t="shared" si="1"/>
        <v>17110.118865671728</v>
      </c>
      <c r="H10" s="20">
        <f t="shared" ref="H10:L10" si="2">H6*H9</f>
        <v>17818.294033531249</v>
      </c>
      <c r="I10" s="20">
        <f t="shared" si="2"/>
        <v>18644.293883327395</v>
      </c>
      <c r="J10" s="20">
        <f t="shared" si="2"/>
        <v>19601.211693556812</v>
      </c>
      <c r="K10" s="20">
        <f t="shared" si="2"/>
        <v>20704.634998030499</v>
      </c>
      <c r="L10" s="20">
        <f t="shared" si="2"/>
        <v>21973.058978799334</v>
      </c>
    </row>
    <row r="11" spans="1:12" x14ac:dyDescent="0.3">
      <c r="A11" s="6" t="s">
        <v>55</v>
      </c>
      <c r="B11" s="22">
        <f>Assumptions!B9</f>
        <v>0.503</v>
      </c>
      <c r="C11" s="22">
        <f>B11-0.002</f>
        <v>0.501</v>
      </c>
      <c r="D11" s="22">
        <f t="shared" ref="D11:G11" si="3">C11-0.002</f>
        <v>0.499</v>
      </c>
      <c r="E11" s="22">
        <f t="shared" si="3"/>
        <v>0.497</v>
      </c>
      <c r="F11" s="22">
        <f t="shared" si="3"/>
        <v>0.495</v>
      </c>
      <c r="G11" s="22">
        <f t="shared" si="3"/>
        <v>0.49299999999999999</v>
      </c>
      <c r="H11" s="22">
        <f t="shared" ref="H11:L11" si="4">G11-0.002</f>
        <v>0.49099999999999999</v>
      </c>
      <c r="I11" s="22">
        <f t="shared" si="4"/>
        <v>0.48899999999999999</v>
      </c>
      <c r="J11" s="22">
        <f t="shared" si="4"/>
        <v>0.48699999999999999</v>
      </c>
      <c r="K11" s="22">
        <f t="shared" si="4"/>
        <v>0.48499999999999999</v>
      </c>
      <c r="L11" s="22">
        <f t="shared" si="4"/>
        <v>0.48299999999999998</v>
      </c>
    </row>
    <row r="14" spans="1:12" x14ac:dyDescent="0.3">
      <c r="A14" s="71" t="s">
        <v>15</v>
      </c>
      <c r="B14" s="119"/>
      <c r="C14" s="119"/>
      <c r="D14" s="119"/>
      <c r="E14" s="119"/>
      <c r="F14" s="119"/>
      <c r="G14" s="119"/>
      <c r="H14" s="105"/>
      <c r="I14" s="105"/>
      <c r="J14" s="105"/>
      <c r="K14" s="105"/>
      <c r="L14" s="106"/>
    </row>
    <row r="15" spans="1:12" x14ac:dyDescent="0.3">
      <c r="A15" s="109" t="s">
        <v>32</v>
      </c>
      <c r="B15" s="118">
        <f>Revenue_Drivers!B11</f>
        <v>84142.47</v>
      </c>
      <c r="C15" s="118">
        <f>Revenue_Drivers!C11</f>
        <v>91930.432989794703</v>
      </c>
      <c r="D15" s="118">
        <f>Revenue_Drivers!D11</f>
        <v>100623.08626180091</v>
      </c>
      <c r="E15" s="118">
        <f>Revenue_Drivers!E11</f>
        <v>110338.93572277097</v>
      </c>
      <c r="F15" s="118">
        <f>Revenue_Drivers!F11</f>
        <v>121213.59499145643</v>
      </c>
      <c r="G15" s="118">
        <f>Revenue_Drivers!G11</f>
        <v>133402.45374369787</v>
      </c>
      <c r="H15" s="118">
        <f>Revenue_Drivers!H11</f>
        <v>147083.79079173406</v>
      </c>
      <c r="I15" s="118">
        <f>Revenue_Drivers!I11</f>
        <v>161874.07525471892</v>
      </c>
      <c r="J15" s="118">
        <f>Revenue_Drivers!J11</f>
        <v>177827.87616187532</v>
      </c>
      <c r="K15" s="118">
        <f>Revenue_Drivers!K11</f>
        <v>194998.37787216427</v>
      </c>
      <c r="L15" s="118">
        <f>Revenue_Drivers!L11</f>
        <v>213436.81259197617</v>
      </c>
    </row>
    <row r="16" spans="1:12" x14ac:dyDescent="0.3">
      <c r="A16" s="6" t="s">
        <v>41</v>
      </c>
      <c r="B16" s="16">
        <f>Assumptions!$C$6</f>
        <v>0.31588396513108646</v>
      </c>
      <c r="C16" s="16">
        <f>Assumptions!$C$6</f>
        <v>0.31588396513108646</v>
      </c>
      <c r="D16" s="16">
        <f>Assumptions!$C$6</f>
        <v>0.31588396513108646</v>
      </c>
      <c r="E16" s="16">
        <f>Assumptions!$C$6</f>
        <v>0.31588396513108646</v>
      </c>
      <c r="F16" s="16">
        <f>Assumptions!$C$6</f>
        <v>0.31588396513108646</v>
      </c>
      <c r="G16" s="16">
        <f>Assumptions!$C$6</f>
        <v>0.31588396513108646</v>
      </c>
      <c r="H16" s="16">
        <f>Assumptions!$C$6</f>
        <v>0.31588396513108646</v>
      </c>
      <c r="I16" s="16">
        <f>Assumptions!$C$6</f>
        <v>0.31588396513108646</v>
      </c>
      <c r="J16" s="16">
        <f>Assumptions!$C$6</f>
        <v>0.31588396513108646</v>
      </c>
      <c r="K16" s="16">
        <f>Assumptions!$C$6</f>
        <v>0.31588396513108646</v>
      </c>
      <c r="L16" s="16">
        <f>Assumptions!$C$6</f>
        <v>0.31588396513108646</v>
      </c>
    </row>
    <row r="17" spans="1:12" x14ac:dyDescent="0.3">
      <c r="A17" s="6" t="s">
        <v>42</v>
      </c>
      <c r="B17" s="15">
        <f>B15*B16</f>
        <v>26579.25705952349</v>
      </c>
      <c r="C17" s="15">
        <f t="shared" ref="C17:G17" si="5">C15*C16</f>
        <v>29039.349689033992</v>
      </c>
      <c r="D17" s="15">
        <f t="shared" si="5"/>
        <v>31785.219472105025</v>
      </c>
      <c r="E17" s="15">
        <f t="shared" si="5"/>
        <v>34854.300524452978</v>
      </c>
      <c r="F17" s="15">
        <f t="shared" si="5"/>
        <v>38289.431013694855</v>
      </c>
      <c r="G17" s="15">
        <f t="shared" si="5"/>
        <v>42139.696046775636</v>
      </c>
      <c r="H17" s="15">
        <f t="shared" ref="H17:L17" si="6">H15*H16</f>
        <v>46461.411041804138</v>
      </c>
      <c r="I17" s="15">
        <f t="shared" si="6"/>
        <v>51133.424743388496</v>
      </c>
      <c r="J17" s="15">
        <f t="shared" si="6"/>
        <v>56172.974632852987</v>
      </c>
      <c r="K17" s="15">
        <f t="shared" si="6"/>
        <v>61596.860796389163</v>
      </c>
      <c r="L17" s="15">
        <f t="shared" si="6"/>
        <v>67421.266666494033</v>
      </c>
    </row>
    <row r="18" spans="1:12" x14ac:dyDescent="0.3">
      <c r="A18" s="6" t="s">
        <v>18</v>
      </c>
      <c r="B18" s="16">
        <f>Assumptions!C7</f>
        <v>0.308</v>
      </c>
      <c r="C18" s="16">
        <f>ROCE_Drivers!B11</f>
        <v>0.308</v>
      </c>
      <c r="D18" s="16">
        <f>ROCE_Drivers!C11</f>
        <v>0.31</v>
      </c>
      <c r="E18" s="16">
        <f>ROCE_Drivers!D11</f>
        <v>0.312</v>
      </c>
      <c r="F18" s="16">
        <f>ROCE_Drivers!E11</f>
        <v>0.314</v>
      </c>
      <c r="G18" s="16">
        <f>ROCE_Drivers!F11</f>
        <v>0.316</v>
      </c>
      <c r="H18" s="16">
        <f>ROCE_Drivers!G11</f>
        <v>0.318</v>
      </c>
      <c r="I18" s="16">
        <f>ROCE_Drivers!H11</f>
        <v>0.32</v>
      </c>
      <c r="J18" s="16">
        <f>ROCE_Drivers!I11</f>
        <v>0.32200000000000001</v>
      </c>
      <c r="K18" s="16">
        <f>ROCE_Drivers!J11</f>
        <v>0.32400000000000001</v>
      </c>
      <c r="L18" s="16">
        <f>ROCE_Drivers!K11</f>
        <v>0.32600000000000001</v>
      </c>
    </row>
    <row r="19" spans="1:12" x14ac:dyDescent="0.3">
      <c r="A19" s="6" t="s">
        <v>43</v>
      </c>
      <c r="B19" s="20">
        <f>B15*B18</f>
        <v>25915.88076</v>
      </c>
      <c r="C19" s="20">
        <f t="shared" ref="C19:G19" si="7">C15*C18</f>
        <v>28314.573360856768</v>
      </c>
      <c r="D19" s="20">
        <f t="shared" si="7"/>
        <v>31193.156741158284</v>
      </c>
      <c r="E19" s="20">
        <f t="shared" si="7"/>
        <v>34425.74794550454</v>
      </c>
      <c r="F19" s="20">
        <f t="shared" si="7"/>
        <v>38061.068827317315</v>
      </c>
      <c r="G19" s="20">
        <f t="shared" si="7"/>
        <v>42155.175383008529</v>
      </c>
      <c r="H19" s="20">
        <f t="shared" ref="H19:L19" si="8">H15*H18</f>
        <v>46772.64547177143</v>
      </c>
      <c r="I19" s="20">
        <f t="shared" si="8"/>
        <v>51799.704081510055</v>
      </c>
      <c r="J19" s="20">
        <f t="shared" si="8"/>
        <v>57260.576124123858</v>
      </c>
      <c r="K19" s="20">
        <f t="shared" si="8"/>
        <v>63179.474430581227</v>
      </c>
      <c r="L19" s="20">
        <f t="shared" si="8"/>
        <v>69580.400904984228</v>
      </c>
    </row>
    <row r="20" spans="1:12" x14ac:dyDescent="0.3">
      <c r="A20" s="6" t="s">
        <v>55</v>
      </c>
      <c r="B20" s="22">
        <f>Assumptions!C9</f>
        <v>0.61129999999999995</v>
      </c>
      <c r="C20" s="22">
        <f>B20-0.002</f>
        <v>0.60929999999999995</v>
      </c>
      <c r="D20" s="22">
        <f t="shared" ref="D20:G20" si="9">C20-0.002</f>
        <v>0.60729999999999995</v>
      </c>
      <c r="E20" s="22">
        <f t="shared" si="9"/>
        <v>0.60529999999999995</v>
      </c>
      <c r="F20" s="22">
        <f t="shared" si="9"/>
        <v>0.60329999999999995</v>
      </c>
      <c r="G20" s="22">
        <f t="shared" si="9"/>
        <v>0.60129999999999995</v>
      </c>
      <c r="H20" s="22">
        <f t="shared" ref="H20:L20" si="10">G20-0.002</f>
        <v>0.59929999999999994</v>
      </c>
      <c r="I20" s="22">
        <f t="shared" si="10"/>
        <v>0.59729999999999994</v>
      </c>
      <c r="J20" s="22">
        <f t="shared" si="10"/>
        <v>0.59529999999999994</v>
      </c>
      <c r="K20" s="22">
        <f t="shared" si="10"/>
        <v>0.59329999999999994</v>
      </c>
      <c r="L20" s="22">
        <f t="shared" si="10"/>
        <v>0.59129999999999994</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D06-672D-49C9-BB9E-82033F6CF8F1}">
  <dimension ref="A1:L30"/>
  <sheetViews>
    <sheetView topLeftCell="B1" workbookViewId="0">
      <selection activeCell="B3" sqref="B3:L3"/>
    </sheetView>
  </sheetViews>
  <sheetFormatPr defaultRowHeight="14.4" x14ac:dyDescent="0.3"/>
  <cols>
    <col min="1" max="1" width="17.5546875" style="1" bestFit="1" customWidth="1"/>
    <col min="2" max="3" width="9.88671875" style="1" bestFit="1" customWidth="1"/>
    <col min="4" max="12" width="10.88671875" style="1" bestFit="1" customWidth="1"/>
    <col min="13" max="16384" width="8.88671875" style="1"/>
  </cols>
  <sheetData>
    <row r="1" spans="1:12" x14ac:dyDescent="0.3">
      <c r="A1" s="120" t="s">
        <v>44</v>
      </c>
      <c r="B1" s="120"/>
      <c r="C1" s="120"/>
    </row>
    <row r="3" spans="1:12" x14ac:dyDescent="0.3">
      <c r="B3" s="116" t="s">
        <v>39</v>
      </c>
      <c r="C3" s="113" t="s">
        <v>34</v>
      </c>
      <c r="D3" s="113" t="s">
        <v>35</v>
      </c>
      <c r="E3" s="113" t="s">
        <v>36</v>
      </c>
      <c r="F3" s="113" t="s">
        <v>37</v>
      </c>
      <c r="G3" s="113" t="s">
        <v>38</v>
      </c>
      <c r="H3" s="113" t="s">
        <v>142</v>
      </c>
      <c r="I3" s="113" t="s">
        <v>143</v>
      </c>
      <c r="J3" s="113" t="s">
        <v>144</v>
      </c>
      <c r="K3" s="113" t="s">
        <v>145</v>
      </c>
      <c r="L3" s="117" t="s">
        <v>146</v>
      </c>
    </row>
    <row r="5" spans="1:12" x14ac:dyDescent="0.3">
      <c r="A5" s="71" t="s">
        <v>14</v>
      </c>
      <c r="B5" s="119"/>
      <c r="C5" s="119"/>
      <c r="D5" s="119"/>
      <c r="E5" s="119"/>
      <c r="F5" s="119"/>
      <c r="G5" s="119"/>
      <c r="H5" s="105"/>
      <c r="I5" s="105"/>
      <c r="J5" s="105"/>
      <c r="K5" s="105"/>
      <c r="L5" s="106"/>
    </row>
    <row r="6" spans="1:12" x14ac:dyDescent="0.3">
      <c r="A6" s="109" t="s">
        <v>32</v>
      </c>
      <c r="B6" s="118">
        <f>Operating_Margins!B6</f>
        <v>64138</v>
      </c>
      <c r="C6" s="118">
        <f>Operating_Margins!C6</f>
        <v>65585.20520370586</v>
      </c>
      <c r="D6" s="118">
        <f>Operating_Margins!D6</f>
        <v>67196.235451603061</v>
      </c>
      <c r="E6" s="118">
        <f>Operating_Margins!E6</f>
        <v>68981.231401158453</v>
      </c>
      <c r="F6" s="118">
        <f>Operating_Margins!F6</f>
        <v>70951.606317112179</v>
      </c>
      <c r="G6" s="118">
        <f>Operating_Margins!G6</f>
        <v>73120.166092614221</v>
      </c>
      <c r="H6" s="118">
        <f>Operating_Margins!H6</f>
        <v>75501.245904793424</v>
      </c>
      <c r="I6" s="118">
        <f>Operating_Margins!I6</f>
        <v>78337.369257678118</v>
      </c>
      <c r="J6" s="118">
        <f>Operating_Margins!J6</f>
        <v>81671.715389820049</v>
      </c>
      <c r="K6" s="118">
        <f>Operating_Margins!K6</f>
        <v>85556.342967068165</v>
      </c>
      <c r="L6" s="118">
        <f>Operating_Margins!L6</f>
        <v>90053.520404915296</v>
      </c>
    </row>
    <row r="7" spans="1:12" x14ac:dyDescent="0.3">
      <c r="A7" s="6" t="s">
        <v>54</v>
      </c>
      <c r="B7" s="19">
        <f>B6*Operating_Margins!B11</f>
        <v>32261.414000000001</v>
      </c>
      <c r="C7" s="19">
        <f>C6*Operating_Margins!C11</f>
        <v>32858.187807056638</v>
      </c>
      <c r="D7" s="19">
        <f>D6*Operating_Margins!D11</f>
        <v>33530.921490349931</v>
      </c>
      <c r="E7" s="19">
        <f>E6*Operating_Margins!E11</f>
        <v>34283.672006375753</v>
      </c>
      <c r="F7" s="19">
        <f>F6*Operating_Margins!F11</f>
        <v>35121.04512697053</v>
      </c>
      <c r="G7" s="19">
        <f>G6*Operating_Margins!G11</f>
        <v>36048.241883658811</v>
      </c>
      <c r="H7" s="19">
        <f>H6*Operating_Margins!H11</f>
        <v>37071.111739253574</v>
      </c>
      <c r="I7" s="19">
        <f>I6*Operating_Margins!I11</f>
        <v>38306.973567004599</v>
      </c>
      <c r="J7" s="19">
        <f>J6*Operating_Margins!J11</f>
        <v>39774.125394842362</v>
      </c>
      <c r="K7" s="19">
        <f>K6*Operating_Margins!K11</f>
        <v>41494.826339028063</v>
      </c>
      <c r="L7" s="19">
        <f>L6*Operating_Margins!L11</f>
        <v>43495.85035557409</v>
      </c>
    </row>
    <row r="8" spans="1:12" x14ac:dyDescent="0.3">
      <c r="A8" s="6" t="s">
        <v>53</v>
      </c>
      <c r="B8" s="20">
        <f>B6-B7</f>
        <v>31876.585999999999</v>
      </c>
      <c r="C8" s="20">
        <f t="shared" ref="C8:G8" si="0">C6-C7</f>
        <v>32727.017396649222</v>
      </c>
      <c r="D8" s="20">
        <f t="shared" si="0"/>
        <v>33665.31396125313</v>
      </c>
      <c r="E8" s="20">
        <f t="shared" si="0"/>
        <v>34697.5593947827</v>
      </c>
      <c r="F8" s="20">
        <f t="shared" si="0"/>
        <v>35830.561190141649</v>
      </c>
      <c r="G8" s="20">
        <f t="shared" si="0"/>
        <v>37071.92420895541</v>
      </c>
      <c r="H8" s="20">
        <f t="shared" ref="H8" si="1">H6-H7</f>
        <v>38430.13416553985</v>
      </c>
      <c r="I8" s="20">
        <f t="shared" ref="I8" si="2">I6-I7</f>
        <v>40030.395690673518</v>
      </c>
      <c r="J8" s="20">
        <f t="shared" ref="J8" si="3">J6-J7</f>
        <v>41897.589994977687</v>
      </c>
      <c r="K8" s="20">
        <f t="shared" ref="K8" si="4">K6-K7</f>
        <v>44061.516628040103</v>
      </c>
      <c r="L8" s="20">
        <f t="shared" ref="L8" si="5">L6-L7</f>
        <v>46557.670049341206</v>
      </c>
    </row>
    <row r="9" spans="1:12" x14ac:dyDescent="0.3">
      <c r="A9" s="6" t="s">
        <v>45</v>
      </c>
      <c r="B9" s="20">
        <f>CHOOSE(MATCH(Control!B14,{"Base","Mild","Severe","Upside"},0),Stress_Helper!E13,Stress_Helper!E14,Stress_Helper!E15,Stress_Helper!E16)</f>
        <v>50.55356304467486</v>
      </c>
      <c r="C9" s="20">
        <f>B9</f>
        <v>50.55356304467486</v>
      </c>
      <c r="D9" s="20">
        <f t="shared" ref="D9:G9" si="6">C9</f>
        <v>50.55356304467486</v>
      </c>
      <c r="E9" s="20">
        <f t="shared" si="6"/>
        <v>50.55356304467486</v>
      </c>
      <c r="F9" s="20">
        <f t="shared" si="6"/>
        <v>50.55356304467486</v>
      </c>
      <c r="G9" s="20">
        <f t="shared" si="6"/>
        <v>50.55356304467486</v>
      </c>
      <c r="H9" s="20">
        <f t="shared" ref="H9:L9" si="7">G9</f>
        <v>50.55356304467486</v>
      </c>
      <c r="I9" s="20">
        <f t="shared" si="7"/>
        <v>50.55356304467486</v>
      </c>
      <c r="J9" s="20">
        <f t="shared" si="7"/>
        <v>50.55356304467486</v>
      </c>
      <c r="K9" s="20">
        <f t="shared" si="7"/>
        <v>50.55356304467486</v>
      </c>
      <c r="L9" s="20">
        <f t="shared" si="7"/>
        <v>50.55356304467486</v>
      </c>
    </row>
    <row r="10" spans="1:12" x14ac:dyDescent="0.3">
      <c r="A10" s="6" t="s">
        <v>46</v>
      </c>
      <c r="B10" s="20">
        <f>B13/B6*365</f>
        <v>21.733371792073342</v>
      </c>
      <c r="C10" s="20">
        <f t="shared" ref="C10:G11" si="8">B10</f>
        <v>21.733371792073342</v>
      </c>
      <c r="D10" s="20">
        <f t="shared" si="8"/>
        <v>21.733371792073342</v>
      </c>
      <c r="E10" s="20">
        <f t="shared" si="8"/>
        <v>21.733371792073342</v>
      </c>
      <c r="F10" s="20">
        <f t="shared" si="8"/>
        <v>21.733371792073342</v>
      </c>
      <c r="G10" s="20">
        <f t="shared" si="8"/>
        <v>21.733371792073342</v>
      </c>
      <c r="H10" s="20">
        <f t="shared" ref="H10:L10" si="9">G10</f>
        <v>21.733371792073342</v>
      </c>
      <c r="I10" s="20">
        <f t="shared" si="9"/>
        <v>21.733371792073342</v>
      </c>
      <c r="J10" s="20">
        <f t="shared" si="9"/>
        <v>21.733371792073342</v>
      </c>
      <c r="K10" s="20">
        <f t="shared" si="9"/>
        <v>21.733371792073342</v>
      </c>
      <c r="L10" s="20">
        <f t="shared" si="9"/>
        <v>21.733371792073342</v>
      </c>
    </row>
    <row r="11" spans="1:12" x14ac:dyDescent="0.3">
      <c r="A11" s="6" t="s">
        <v>47</v>
      </c>
      <c r="B11" s="20">
        <f>B14/B8*365</f>
        <v>129.56139656862879</v>
      </c>
      <c r="C11" s="20">
        <f t="shared" si="8"/>
        <v>129.56139656862879</v>
      </c>
      <c r="D11" s="20">
        <f t="shared" si="8"/>
        <v>129.56139656862879</v>
      </c>
      <c r="E11" s="20">
        <f t="shared" si="8"/>
        <v>129.56139656862879</v>
      </c>
      <c r="F11" s="20">
        <f t="shared" si="8"/>
        <v>129.56139656862879</v>
      </c>
      <c r="G11" s="20">
        <f t="shared" si="8"/>
        <v>129.56139656862879</v>
      </c>
      <c r="H11" s="20">
        <f t="shared" ref="H11:L11" si="10">G11</f>
        <v>129.56139656862879</v>
      </c>
      <c r="I11" s="20">
        <f t="shared" si="10"/>
        <v>129.56139656862879</v>
      </c>
      <c r="J11" s="20">
        <f t="shared" si="10"/>
        <v>129.56139656862879</v>
      </c>
      <c r="K11" s="20">
        <f t="shared" si="10"/>
        <v>129.56139656862879</v>
      </c>
      <c r="L11" s="20">
        <f t="shared" si="10"/>
        <v>129.56139656862879</v>
      </c>
    </row>
    <row r="12" spans="1:12" x14ac:dyDescent="0.3">
      <c r="A12" s="6" t="s">
        <v>48</v>
      </c>
      <c r="B12" s="23">
        <v>4415</v>
      </c>
      <c r="C12" s="21">
        <f>C8*C9/365</f>
        <v>4532.7872252758289</v>
      </c>
      <c r="D12" s="21">
        <f t="shared" ref="D12:G12" si="11">D8*D9/365</f>
        <v>4662.744032216392</v>
      </c>
      <c r="E12" s="21">
        <f t="shared" si="11"/>
        <v>4805.7130311246519</v>
      </c>
      <c r="F12" s="21">
        <f t="shared" si="11"/>
        <v>4962.637079594263</v>
      </c>
      <c r="G12" s="21">
        <f t="shared" si="11"/>
        <v>5134.5694731091389</v>
      </c>
      <c r="H12" s="21">
        <f t="shared" ref="H12:L12" si="12">H8*H9/365</f>
        <v>5322.6855078162525</v>
      </c>
      <c r="I12" s="21">
        <f t="shared" si="12"/>
        <v>5544.326389730807</v>
      </c>
      <c r="J12" s="21">
        <f t="shared" si="12"/>
        <v>5802.9382389891589</v>
      </c>
      <c r="K12" s="21">
        <f t="shared" si="12"/>
        <v>6102.6483799989446</v>
      </c>
      <c r="L12" s="21">
        <f t="shared" si="12"/>
        <v>6448.3728987740851</v>
      </c>
    </row>
    <row r="13" spans="1:12" x14ac:dyDescent="0.3">
      <c r="A13" s="6" t="s">
        <v>49</v>
      </c>
      <c r="B13" s="23">
        <v>3819</v>
      </c>
      <c r="C13" s="21">
        <f>C6*C10/365</f>
        <v>3905.1716404152403</v>
      </c>
      <c r="D13" s="21">
        <f t="shared" ref="D13:G13" si="13">D6*D10/365</f>
        <v>4001.0979947873661</v>
      </c>
      <c r="E13" s="21">
        <f t="shared" si="13"/>
        <v>4107.3828731956737</v>
      </c>
      <c r="F13" s="21">
        <f t="shared" si="13"/>
        <v>4224.705861190736</v>
      </c>
      <c r="G13" s="21">
        <f t="shared" si="13"/>
        <v>4353.8294662710678</v>
      </c>
      <c r="H13" s="21">
        <f t="shared" ref="H13:L13" si="14">H6*H10/365</f>
        <v>4495.6072548318643</v>
      </c>
      <c r="I13" s="21">
        <f t="shared" si="14"/>
        <v>4664.4799213426159</v>
      </c>
      <c r="J13" s="21">
        <f t="shared" si="14"/>
        <v>4863.0185081187874</v>
      </c>
      <c r="K13" s="21">
        <f t="shared" si="14"/>
        <v>5094.3227695162514</v>
      </c>
      <c r="L13" s="21">
        <f t="shared" si="14"/>
        <v>5362.1003839591431</v>
      </c>
    </row>
    <row r="14" spans="1:12" x14ac:dyDescent="0.3">
      <c r="A14" s="6" t="s">
        <v>50</v>
      </c>
      <c r="B14" s="23">
        <f>263+11052</f>
        <v>11315</v>
      </c>
      <c r="C14" s="21">
        <f>C8*C11/365</f>
        <v>11616.871450508723</v>
      </c>
      <c r="D14" s="21">
        <f t="shared" ref="D14:G14" si="15">D8*D11/365</f>
        <v>11949.931760935102</v>
      </c>
      <c r="E14" s="21">
        <f t="shared" si="15"/>
        <v>12316.340418386284</v>
      </c>
      <c r="F14" s="21">
        <f t="shared" si="15"/>
        <v>12718.513829130034</v>
      </c>
      <c r="G14" s="21">
        <f t="shared" si="15"/>
        <v>13159.151435612663</v>
      </c>
      <c r="H14" s="21">
        <f t="shared" ref="H14:L14" si="16">H8*H11/365</f>
        <v>13641.265350156489</v>
      </c>
      <c r="I14" s="21">
        <f t="shared" si="16"/>
        <v>14209.298550352003</v>
      </c>
      <c r="J14" s="21">
        <f t="shared" si="16"/>
        <v>14872.08293865512</v>
      </c>
      <c r="K14" s="21">
        <f t="shared" si="16"/>
        <v>15640.196244549961</v>
      </c>
      <c r="L14" s="21">
        <f t="shared" si="16"/>
        <v>16526.237678285117</v>
      </c>
    </row>
    <row r="15" spans="1:12" x14ac:dyDescent="0.3">
      <c r="A15" s="6" t="s">
        <v>51</v>
      </c>
      <c r="B15" s="21">
        <f>B12+B13-B14</f>
        <v>-3081</v>
      </c>
      <c r="C15" s="21">
        <f t="shared" ref="C15:G15" si="17">C12+C13-C14</f>
        <v>-3178.9125848176536</v>
      </c>
      <c r="D15" s="21">
        <f t="shared" si="17"/>
        <v>-3286.0897339313433</v>
      </c>
      <c r="E15" s="21">
        <f t="shared" si="17"/>
        <v>-3403.2445140659584</v>
      </c>
      <c r="F15" s="21">
        <f t="shared" si="17"/>
        <v>-3531.1708883450356</v>
      </c>
      <c r="G15" s="21">
        <f t="shared" si="17"/>
        <v>-3670.7524962324551</v>
      </c>
      <c r="H15" s="21">
        <f t="shared" ref="H15:L15" si="18">H12+H13-H14</f>
        <v>-3822.9725875083714</v>
      </c>
      <c r="I15" s="21">
        <f t="shared" si="18"/>
        <v>-4000.4922392785811</v>
      </c>
      <c r="J15" s="21">
        <f t="shared" si="18"/>
        <v>-4206.1261915471732</v>
      </c>
      <c r="K15" s="21">
        <f t="shared" si="18"/>
        <v>-4443.2250950347643</v>
      </c>
      <c r="L15" s="21">
        <f t="shared" si="18"/>
        <v>-4715.7643955518888</v>
      </c>
    </row>
    <row r="16" spans="1:12" x14ac:dyDescent="0.3">
      <c r="A16" s="6" t="s">
        <v>52</v>
      </c>
      <c r="B16" s="21">
        <v>0</v>
      </c>
      <c r="C16" s="20">
        <f>C15-B15</f>
        <v>-97.912584817653624</v>
      </c>
      <c r="D16" s="20">
        <f t="shared" ref="D16:G16" si="19">D15-C15</f>
        <v>-107.17714911368967</v>
      </c>
      <c r="E16" s="20">
        <f t="shared" si="19"/>
        <v>-117.15478013461507</v>
      </c>
      <c r="F16" s="20">
        <f t="shared" si="19"/>
        <v>-127.92637427907721</v>
      </c>
      <c r="G16" s="20">
        <f t="shared" si="19"/>
        <v>-139.58160788741952</v>
      </c>
      <c r="H16" s="20">
        <f t="shared" ref="H16" si="20">H15-G15</f>
        <v>-152.22009127591627</v>
      </c>
      <c r="I16" s="20">
        <f t="shared" ref="I16" si="21">I15-H15</f>
        <v>-177.51965177020975</v>
      </c>
      <c r="J16" s="20">
        <f t="shared" ref="J16" si="22">J15-I15</f>
        <v>-205.63395226859211</v>
      </c>
      <c r="K16" s="20">
        <f t="shared" ref="K16" si="23">K15-J15</f>
        <v>-237.09890348759109</v>
      </c>
      <c r="L16" s="20">
        <f t="shared" ref="L16" si="24">L15-K15</f>
        <v>-272.5393005171245</v>
      </c>
    </row>
    <row r="19" spans="1:12" x14ac:dyDescent="0.3">
      <c r="A19" s="71" t="s">
        <v>15</v>
      </c>
      <c r="B19" s="119"/>
      <c r="C19" s="119"/>
      <c r="D19" s="119"/>
      <c r="E19" s="119"/>
      <c r="F19" s="119"/>
      <c r="G19" s="119"/>
      <c r="H19" s="105"/>
      <c r="I19" s="105"/>
      <c r="J19" s="105"/>
      <c r="K19" s="105"/>
      <c r="L19" s="106"/>
    </row>
    <row r="20" spans="1:12" x14ac:dyDescent="0.3">
      <c r="A20" s="109" t="s">
        <v>32</v>
      </c>
      <c r="B20" s="118">
        <f>Operating_Margins!B15</f>
        <v>84142.47</v>
      </c>
      <c r="C20" s="118">
        <f>Operating_Margins!C15</f>
        <v>91930.432989794703</v>
      </c>
      <c r="D20" s="118">
        <f>Operating_Margins!D15</f>
        <v>100623.08626180091</v>
      </c>
      <c r="E20" s="118">
        <f>Operating_Margins!E15</f>
        <v>110338.93572277097</v>
      </c>
      <c r="F20" s="118">
        <f>Operating_Margins!F15</f>
        <v>121213.59499145643</v>
      </c>
      <c r="G20" s="118">
        <f>Operating_Margins!G15</f>
        <v>133402.45374369787</v>
      </c>
      <c r="H20" s="118">
        <f>Operating_Margins!H15</f>
        <v>147083.79079173406</v>
      </c>
      <c r="I20" s="118">
        <f>Operating_Margins!I15</f>
        <v>161874.07525471892</v>
      </c>
      <c r="J20" s="118">
        <f>Operating_Margins!J15</f>
        <v>177827.87616187532</v>
      </c>
      <c r="K20" s="118">
        <f>Operating_Margins!K15</f>
        <v>194998.37787216427</v>
      </c>
      <c r="L20" s="118">
        <f>Operating_Margins!L15</f>
        <v>213436.81259197617</v>
      </c>
    </row>
    <row r="21" spans="1:12" x14ac:dyDescent="0.3">
      <c r="A21" s="6" t="s">
        <v>54</v>
      </c>
      <c r="B21" s="19">
        <f>B20*Operating_Margins!B20</f>
        <v>51436.291911</v>
      </c>
      <c r="C21" s="19">
        <f>C20*Operating_Margins!C20</f>
        <v>56013.212820681911</v>
      </c>
      <c r="D21" s="19">
        <f>D20*Operating_Margins!D20</f>
        <v>61108.400286791686</v>
      </c>
      <c r="E21" s="19">
        <f>E20*Operating_Margins!E20</f>
        <v>66788.157792993268</v>
      </c>
      <c r="F21" s="19">
        <f>F20*Operating_Margins!F20</f>
        <v>73128.161858345658</v>
      </c>
      <c r="G21" s="19">
        <f>G20*Operating_Margins!G20</f>
        <v>80214.895436085528</v>
      </c>
      <c r="H21" s="19">
        <f>H20*Operating_Margins!H20</f>
        <v>88147.31582148622</v>
      </c>
      <c r="I21" s="19">
        <f>I20*Operating_Margins!I20</f>
        <v>96687.385149643596</v>
      </c>
      <c r="J21" s="19">
        <f>J20*Operating_Margins!J20</f>
        <v>105860.93467916436</v>
      </c>
      <c r="K21" s="19">
        <f>K20*Operating_Margins!K20</f>
        <v>115692.53759155505</v>
      </c>
      <c r="L21" s="19">
        <f>L20*Operating_Margins!L20</f>
        <v>126205.18728563549</v>
      </c>
    </row>
    <row r="22" spans="1:12" x14ac:dyDescent="0.3">
      <c r="A22" s="6" t="s">
        <v>53</v>
      </c>
      <c r="B22" s="20">
        <f>B20-B21</f>
        <v>32706.178089000001</v>
      </c>
      <c r="C22" s="20">
        <f t="shared" ref="C22:G22" si="25">C20-C21</f>
        <v>35917.220169112792</v>
      </c>
      <c r="D22" s="20">
        <f t="shared" si="25"/>
        <v>39514.685975009226</v>
      </c>
      <c r="E22" s="20">
        <f t="shared" si="25"/>
        <v>43550.777929777702</v>
      </c>
      <c r="F22" s="20">
        <f t="shared" si="25"/>
        <v>48085.433133110768</v>
      </c>
      <c r="G22" s="20">
        <f t="shared" si="25"/>
        <v>53187.558307612344</v>
      </c>
      <c r="H22" s="20">
        <f t="shared" ref="H22" si="26">H20-H21</f>
        <v>58936.474970247844</v>
      </c>
      <c r="I22" s="20">
        <f t="shared" ref="I22" si="27">I20-I21</f>
        <v>65186.690105075322</v>
      </c>
      <c r="J22" s="20">
        <f t="shared" ref="J22" si="28">J20-J21</f>
        <v>71966.941482710958</v>
      </c>
      <c r="K22" s="20">
        <f t="shared" ref="K22" si="29">K20-K21</f>
        <v>79305.84028060922</v>
      </c>
      <c r="L22" s="20">
        <f t="shared" ref="L22" si="30">L20-L21</f>
        <v>87231.625306340677</v>
      </c>
    </row>
    <row r="23" spans="1:12" x14ac:dyDescent="0.3">
      <c r="A23" s="6" t="s">
        <v>45</v>
      </c>
      <c r="B23" s="20">
        <f>CHOOSE(MATCH(Control!B14,{"Base","Mild","Severe","Upside"},0),Stress_Helper!E21,Stress_Helper!E22,Stress_Helper!E23,Stress_Helper!E24)</f>
        <v>174.51471659171517</v>
      </c>
      <c r="C23" s="20">
        <f>B23</f>
        <v>174.51471659171517</v>
      </c>
      <c r="D23" s="20">
        <f t="shared" ref="D23:G23" si="31">C23</f>
        <v>174.51471659171517</v>
      </c>
      <c r="E23" s="20">
        <f t="shared" si="31"/>
        <v>174.51471659171517</v>
      </c>
      <c r="F23" s="20">
        <f t="shared" si="31"/>
        <v>174.51471659171517</v>
      </c>
      <c r="G23" s="20">
        <f t="shared" si="31"/>
        <v>174.51471659171517</v>
      </c>
      <c r="H23" s="20">
        <f t="shared" ref="H23:L23" si="32">G23</f>
        <v>174.51471659171517</v>
      </c>
      <c r="I23" s="20">
        <f t="shared" si="32"/>
        <v>174.51471659171517</v>
      </c>
      <c r="J23" s="20">
        <f t="shared" si="32"/>
        <v>174.51471659171517</v>
      </c>
      <c r="K23" s="20">
        <f t="shared" si="32"/>
        <v>174.51471659171517</v>
      </c>
      <c r="L23" s="20">
        <f t="shared" si="32"/>
        <v>174.51471659171517</v>
      </c>
    </row>
    <row r="24" spans="1:12" x14ac:dyDescent="0.3">
      <c r="A24" s="6" t="s">
        <v>46</v>
      </c>
      <c r="B24" s="20">
        <f>B27/B20*365</f>
        <v>20.473365590527589</v>
      </c>
      <c r="C24" s="20">
        <f t="shared" ref="C24:G25" si="33">B24</f>
        <v>20.473365590527589</v>
      </c>
      <c r="D24" s="20">
        <f t="shared" si="33"/>
        <v>20.473365590527589</v>
      </c>
      <c r="E24" s="20">
        <f t="shared" si="33"/>
        <v>20.473365590527589</v>
      </c>
      <c r="F24" s="20">
        <f t="shared" si="33"/>
        <v>20.473365590527589</v>
      </c>
      <c r="G24" s="20">
        <f t="shared" si="33"/>
        <v>20.473365590527589</v>
      </c>
      <c r="H24" s="20">
        <f t="shared" ref="H24:L24" si="34">G24</f>
        <v>20.473365590527589</v>
      </c>
      <c r="I24" s="20">
        <f t="shared" si="34"/>
        <v>20.473365590527589</v>
      </c>
      <c r="J24" s="20">
        <f t="shared" si="34"/>
        <v>20.473365590527589</v>
      </c>
      <c r="K24" s="20">
        <f t="shared" si="34"/>
        <v>20.473365590527589</v>
      </c>
      <c r="L24" s="20">
        <f t="shared" si="34"/>
        <v>20.473365590527589</v>
      </c>
    </row>
    <row r="25" spans="1:12" x14ac:dyDescent="0.3">
      <c r="A25" s="6" t="s">
        <v>47</v>
      </c>
      <c r="B25" s="20">
        <f>B28/B22*365</f>
        <v>53.649328736155283</v>
      </c>
      <c r="C25" s="20">
        <f t="shared" si="33"/>
        <v>53.649328736155283</v>
      </c>
      <c r="D25" s="20">
        <f t="shared" si="33"/>
        <v>53.649328736155283</v>
      </c>
      <c r="E25" s="20">
        <f t="shared" si="33"/>
        <v>53.649328736155283</v>
      </c>
      <c r="F25" s="20">
        <f t="shared" si="33"/>
        <v>53.649328736155283</v>
      </c>
      <c r="G25" s="20">
        <f t="shared" si="33"/>
        <v>53.649328736155283</v>
      </c>
      <c r="H25" s="20">
        <f t="shared" ref="H25:L25" si="35">G25</f>
        <v>53.649328736155283</v>
      </c>
      <c r="I25" s="20">
        <f t="shared" si="35"/>
        <v>53.649328736155283</v>
      </c>
      <c r="J25" s="20">
        <f t="shared" si="35"/>
        <v>53.649328736155283</v>
      </c>
      <c r="K25" s="20">
        <f t="shared" si="35"/>
        <v>53.649328736155283</v>
      </c>
      <c r="L25" s="20">
        <f t="shared" si="35"/>
        <v>53.649328736155283</v>
      </c>
    </row>
    <row r="26" spans="1:12" x14ac:dyDescent="0.3">
      <c r="A26" s="6" t="s">
        <v>48</v>
      </c>
      <c r="B26" s="23">
        <v>15637.56</v>
      </c>
      <c r="C26" s="21">
        <f>C22*C23/365</f>
        <v>17172.831502945082</v>
      </c>
      <c r="D26" s="21">
        <f t="shared" ref="D26:G26" si="36">D22*D23/365</f>
        <v>18892.860888053034</v>
      </c>
      <c r="E26" s="21">
        <f t="shared" si="36"/>
        <v>20822.607308942137</v>
      </c>
      <c r="F26" s="21">
        <f t="shared" si="36"/>
        <v>22990.728042232047</v>
      </c>
      <c r="G26" s="21">
        <f t="shared" si="36"/>
        <v>25430.168943173408</v>
      </c>
      <c r="H26" s="21">
        <f t="shared" ref="H26:L26" si="37">H22*H23/365</f>
        <v>28178.85541465073</v>
      </c>
      <c r="I26" s="21">
        <f t="shared" si="37"/>
        <v>31167.223970518313</v>
      </c>
      <c r="J26" s="21">
        <f t="shared" si="37"/>
        <v>34409.014785829735</v>
      </c>
      <c r="K26" s="21">
        <f t="shared" si="37"/>
        <v>37917.907508598211</v>
      </c>
      <c r="L26" s="21">
        <f t="shared" si="37"/>
        <v>41707.403748412966</v>
      </c>
    </row>
    <row r="27" spans="1:12" x14ac:dyDescent="0.3">
      <c r="A27" s="6" t="s">
        <v>49</v>
      </c>
      <c r="B27" s="23">
        <v>4719.67</v>
      </c>
      <c r="C27" s="21">
        <f>C20*C24/365</f>
        <v>5156.5078451933296</v>
      </c>
      <c r="D27" s="21">
        <f t="shared" ref="D27:G27" si="38">D20*D24/365</f>
        <v>5644.0910462603952</v>
      </c>
      <c r="E27" s="21">
        <f t="shared" si="38"/>
        <v>6189.0667669096283</v>
      </c>
      <c r="F27" s="21">
        <f t="shared" si="38"/>
        <v>6799.0417665814557</v>
      </c>
      <c r="G27" s="21">
        <f t="shared" si="38"/>
        <v>7482.7320716936229</v>
      </c>
      <c r="H27" s="21">
        <f t="shared" ref="H27:L27" si="39">H20*H24/365</f>
        <v>8250.1375926571145</v>
      </c>
      <c r="I27" s="21">
        <f t="shared" si="39"/>
        <v>9079.7455405984547</v>
      </c>
      <c r="J27" s="21">
        <f t="shared" si="39"/>
        <v>9974.616769449698</v>
      </c>
      <c r="K27" s="21">
        <f t="shared" si="39"/>
        <v>10937.734465031957</v>
      </c>
      <c r="L27" s="21">
        <f t="shared" si="39"/>
        <v>11971.972314171098</v>
      </c>
    </row>
    <row r="28" spans="1:12" x14ac:dyDescent="0.3">
      <c r="A28" s="6" t="s">
        <v>50</v>
      </c>
      <c r="B28" s="23">
        <f>180.64+4626.66</f>
        <v>4807.3</v>
      </c>
      <c r="C28" s="21">
        <f>C22*C25/365</f>
        <v>5279.2732935386275</v>
      </c>
      <c r="D28" s="21">
        <f t="shared" ref="D28:G28" si="40">D22*D25/365</f>
        <v>5808.0448706279849</v>
      </c>
      <c r="E28" s="21">
        <f t="shared" si="40"/>
        <v>6401.2876763560007</v>
      </c>
      <c r="F28" s="21">
        <f t="shared" si="40"/>
        <v>7067.8115330922546</v>
      </c>
      <c r="G28" s="21">
        <f t="shared" si="40"/>
        <v>7817.7446584069085</v>
      </c>
      <c r="H28" s="21">
        <f t="shared" ref="H28:L28" si="41">H22*H25/365</f>
        <v>8662.7460828192179</v>
      </c>
      <c r="I28" s="21">
        <f t="shared" si="41"/>
        <v>9581.4305936138808</v>
      </c>
      <c r="J28" s="21">
        <f t="shared" si="41"/>
        <v>10578.022196552358</v>
      </c>
      <c r="K28" s="21">
        <f t="shared" si="41"/>
        <v>11656.726290168299</v>
      </c>
      <c r="L28" s="21">
        <f t="shared" si="41"/>
        <v>12821.6935404082</v>
      </c>
    </row>
    <row r="29" spans="1:12" x14ac:dyDescent="0.3">
      <c r="A29" s="6" t="s">
        <v>51</v>
      </c>
      <c r="B29" s="21">
        <f>B26+B27-B28</f>
        <v>15549.93</v>
      </c>
      <c r="C29" s="21">
        <f t="shared" ref="C29:G29" si="42">C26+C27-C28</f>
        <v>17050.066054599785</v>
      </c>
      <c r="D29" s="21">
        <f t="shared" si="42"/>
        <v>18728.907063685445</v>
      </c>
      <c r="E29" s="21">
        <f t="shared" si="42"/>
        <v>20610.386399495765</v>
      </c>
      <c r="F29" s="21">
        <f t="shared" si="42"/>
        <v>22721.958275721248</v>
      </c>
      <c r="G29" s="21">
        <f t="shared" si="42"/>
        <v>25095.156356460127</v>
      </c>
      <c r="H29" s="21">
        <f t="shared" ref="H29:L29" si="43">H26+H27-H28</f>
        <v>27766.246924488623</v>
      </c>
      <c r="I29" s="21">
        <f t="shared" si="43"/>
        <v>30665.538917502887</v>
      </c>
      <c r="J29" s="21">
        <f t="shared" si="43"/>
        <v>33805.609358727073</v>
      </c>
      <c r="K29" s="21">
        <f t="shared" si="43"/>
        <v>37198.91568346187</v>
      </c>
      <c r="L29" s="21">
        <f t="shared" si="43"/>
        <v>40857.682522175863</v>
      </c>
    </row>
    <row r="30" spans="1:12" x14ac:dyDescent="0.3">
      <c r="A30" s="6" t="s">
        <v>52</v>
      </c>
      <c r="B30" s="21">
        <v>0</v>
      </c>
      <c r="C30" s="20">
        <f>C29-B29</f>
        <v>1500.136054599785</v>
      </c>
      <c r="D30" s="20">
        <f t="shared" ref="D30:G30" si="44">D29-C29</f>
        <v>1678.8410090856596</v>
      </c>
      <c r="E30" s="20">
        <f t="shared" si="44"/>
        <v>1881.4793358103198</v>
      </c>
      <c r="F30" s="20">
        <f t="shared" si="44"/>
        <v>2111.5718762254837</v>
      </c>
      <c r="G30" s="20">
        <f t="shared" si="44"/>
        <v>2373.1980807388791</v>
      </c>
      <c r="H30" s="20">
        <f t="shared" ref="H30" si="45">H29-G29</f>
        <v>2671.0905680284959</v>
      </c>
      <c r="I30" s="20">
        <f t="shared" ref="I30" si="46">I29-H29</f>
        <v>2899.2919930142634</v>
      </c>
      <c r="J30" s="20">
        <f t="shared" ref="J30" si="47">J29-I29</f>
        <v>3140.0704412241867</v>
      </c>
      <c r="K30" s="20">
        <f t="shared" ref="K30" si="48">K29-J29</f>
        <v>3393.3063247347964</v>
      </c>
      <c r="L30" s="20">
        <f t="shared" ref="L30" si="49">L29-K29</f>
        <v>3658.7668387139929</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DF27-600C-43F1-A697-CDC03976EFBA}">
  <dimension ref="A1:L20"/>
  <sheetViews>
    <sheetView workbookViewId="0">
      <selection activeCell="L14" sqref="A14:L14"/>
    </sheetView>
  </sheetViews>
  <sheetFormatPr defaultRowHeight="14.4" x14ac:dyDescent="0.3"/>
  <cols>
    <col min="1" max="1" width="17.33203125" style="1" bestFit="1" customWidth="1"/>
    <col min="2" max="3" width="9.88671875" style="1" bestFit="1" customWidth="1"/>
    <col min="4" max="12" width="10.88671875" style="1" bestFit="1" customWidth="1"/>
    <col min="13" max="16384" width="8.88671875" style="1"/>
  </cols>
  <sheetData>
    <row r="1" spans="1:12" x14ac:dyDescent="0.3">
      <c r="A1" s="120" t="s">
        <v>56</v>
      </c>
      <c r="B1" s="120"/>
      <c r="C1" s="120"/>
    </row>
    <row r="3" spans="1:12" x14ac:dyDescent="0.3">
      <c r="B3" s="116" t="s">
        <v>39</v>
      </c>
      <c r="C3" s="113" t="s">
        <v>34</v>
      </c>
      <c r="D3" s="113" t="s">
        <v>35</v>
      </c>
      <c r="E3" s="113" t="s">
        <v>36</v>
      </c>
      <c r="F3" s="113" t="s">
        <v>37</v>
      </c>
      <c r="G3" s="113" t="s">
        <v>38</v>
      </c>
      <c r="H3" s="113" t="s">
        <v>142</v>
      </c>
      <c r="I3" s="113" t="s">
        <v>143</v>
      </c>
      <c r="J3" s="113" t="s">
        <v>144</v>
      </c>
      <c r="K3" s="113" t="s">
        <v>145</v>
      </c>
      <c r="L3" s="117" t="s">
        <v>146</v>
      </c>
    </row>
    <row r="5" spans="1:12" x14ac:dyDescent="0.3">
      <c r="A5" s="71" t="s">
        <v>14</v>
      </c>
      <c r="B5" s="119"/>
      <c r="C5" s="119"/>
      <c r="D5" s="119"/>
      <c r="E5" s="119"/>
      <c r="F5" s="119"/>
      <c r="G5" s="119"/>
      <c r="H5" s="105"/>
      <c r="I5" s="105"/>
      <c r="J5" s="105"/>
      <c r="K5" s="105"/>
      <c r="L5" s="106"/>
    </row>
    <row r="6" spans="1:12" x14ac:dyDescent="0.3">
      <c r="A6" s="109" t="s">
        <v>32</v>
      </c>
      <c r="B6" s="118">
        <f>Working_Capital!B6</f>
        <v>64138</v>
      </c>
      <c r="C6" s="118">
        <f>Working_Capital!C6</f>
        <v>65585.20520370586</v>
      </c>
      <c r="D6" s="118">
        <f>Working_Capital!D6</f>
        <v>67196.235451603061</v>
      </c>
      <c r="E6" s="118">
        <f>Working_Capital!E6</f>
        <v>68981.231401158453</v>
      </c>
      <c r="F6" s="118">
        <f>Working_Capital!F6</f>
        <v>70951.606317112179</v>
      </c>
      <c r="G6" s="118">
        <f>Working_Capital!G6</f>
        <v>73120.166092614221</v>
      </c>
      <c r="H6" s="118">
        <f>Working_Capital!H6</f>
        <v>75501.245904793424</v>
      </c>
      <c r="I6" s="118">
        <f>Working_Capital!I6</f>
        <v>78337.369257678118</v>
      </c>
      <c r="J6" s="118">
        <f>Working_Capital!J6</f>
        <v>81671.715389820049</v>
      </c>
      <c r="K6" s="118">
        <f>Working_Capital!K6</f>
        <v>85556.342967068165</v>
      </c>
      <c r="L6" s="118">
        <f>Working_Capital!L6</f>
        <v>90053.520404915296</v>
      </c>
    </row>
    <row r="7" spans="1:12" x14ac:dyDescent="0.3">
      <c r="A7" s="6" t="s">
        <v>57</v>
      </c>
      <c r="B7" s="25">
        <f>CHOOSE(MATCH(Control!B14,{"Base","Mild","Severe","Upside"},0),Stress_Helper!D13,Stress_Helper!D14,Stress_Helper!D15,Stress_Helper!D16)</f>
        <v>1.9551591880008733E-2</v>
      </c>
      <c r="C7" s="25">
        <f>B7</f>
        <v>1.9551591880008733E-2</v>
      </c>
      <c r="D7" s="25">
        <f t="shared" ref="D7:G7" si="0">C7</f>
        <v>1.9551591880008733E-2</v>
      </c>
      <c r="E7" s="25">
        <f t="shared" si="0"/>
        <v>1.9551591880008733E-2</v>
      </c>
      <c r="F7" s="25">
        <f t="shared" si="0"/>
        <v>1.9551591880008733E-2</v>
      </c>
      <c r="G7" s="25">
        <f t="shared" si="0"/>
        <v>1.9551591880008733E-2</v>
      </c>
      <c r="H7" s="25">
        <f t="shared" ref="H7:L7" si="1">G7</f>
        <v>1.9551591880008733E-2</v>
      </c>
      <c r="I7" s="25">
        <f t="shared" si="1"/>
        <v>1.9551591880008733E-2</v>
      </c>
      <c r="J7" s="25">
        <f t="shared" si="1"/>
        <v>1.9551591880008733E-2</v>
      </c>
      <c r="K7" s="25">
        <f t="shared" si="1"/>
        <v>1.9551591880008733E-2</v>
      </c>
      <c r="L7" s="25">
        <f t="shared" si="1"/>
        <v>1.9551591880008733E-2</v>
      </c>
    </row>
    <row r="8" spans="1:12" x14ac:dyDescent="0.3">
      <c r="A8" s="6" t="s">
        <v>61</v>
      </c>
      <c r="B8" s="23">
        <v>1254</v>
      </c>
      <c r="C8" s="21">
        <f>C6*C7</f>
        <v>1282.2951655094819</v>
      </c>
      <c r="D8" s="21">
        <f t="shared" ref="D8:G8" si="2">D6*D7</f>
        <v>1313.7933714227174</v>
      </c>
      <c r="E8" s="21">
        <f t="shared" si="2"/>
        <v>1348.692883735893</v>
      </c>
      <c r="F8" s="21">
        <f t="shared" si="2"/>
        <v>1387.2168499432269</v>
      </c>
      <c r="G8" s="21">
        <f t="shared" si="2"/>
        <v>1429.6156456412461</v>
      </c>
      <c r="H8" s="21">
        <f t="shared" ref="H8" si="3">H6*H7</f>
        <v>1476.1695463627018</v>
      </c>
      <c r="I8" s="21">
        <f t="shared" ref="I8" si="4">I6*I7</f>
        <v>1531.6202726796653</v>
      </c>
      <c r="J8" s="21">
        <f t="shared" ref="J8" si="5">J6*J7</f>
        <v>1596.81204744199</v>
      </c>
      <c r="K8" s="21">
        <f t="shared" ref="K8" si="6">K6*K7</f>
        <v>1672.7627004381723</v>
      </c>
      <c r="L8" s="21">
        <f t="shared" ref="L8" si="7">L6*L7</f>
        <v>1760.6896783149425</v>
      </c>
    </row>
    <row r="9" spans="1:12" x14ac:dyDescent="0.3">
      <c r="A9" s="6" t="s">
        <v>58</v>
      </c>
      <c r="B9" s="23">
        <v>8031</v>
      </c>
      <c r="C9" s="21">
        <f>B11</f>
        <v>8625</v>
      </c>
      <c r="D9" s="21">
        <f t="shared" ref="D9:G9" si="8">C11</f>
        <v>8601.3556810119098</v>
      </c>
      <c r="E9" s="21">
        <f t="shared" si="8"/>
        <v>8612.7896316762544</v>
      </c>
      <c r="F9" s="21">
        <f t="shared" si="8"/>
        <v>8657.3918427539083</v>
      </c>
      <c r="G9" s="21">
        <f t="shared" si="8"/>
        <v>8733.7646532513936</v>
      </c>
      <c r="H9" s="21">
        <f t="shared" ref="H9:L9" si="9">G11</f>
        <v>8840.9724021981201</v>
      </c>
      <c r="I9" s="21">
        <f t="shared" si="9"/>
        <v>8978.5013756467506</v>
      </c>
      <c r="J9" s="21">
        <f t="shared" si="9"/>
        <v>9150.6573633324624</v>
      </c>
      <c r="K9" s="21">
        <f t="shared" si="9"/>
        <v>9361.9384241211992</v>
      </c>
      <c r="L9" s="21">
        <f t="shared" si="9"/>
        <v>9617.1793808498242</v>
      </c>
    </row>
    <row r="10" spans="1:12" x14ac:dyDescent="0.3">
      <c r="A10" s="6" t="s">
        <v>59</v>
      </c>
      <c r="B10" s="23">
        <v>1216</v>
      </c>
      <c r="C10" s="21">
        <f>(B10/B9)*C9</f>
        <v>1305.9394844975718</v>
      </c>
      <c r="D10" s="21">
        <f>(C10/C9)*D9</f>
        <v>1302.3594207583715</v>
      </c>
      <c r="E10" s="21">
        <f t="shared" ref="E10:G10" si="10">(D10/D9)*E9</f>
        <v>1304.09067265824</v>
      </c>
      <c r="F10" s="21">
        <f t="shared" si="10"/>
        <v>1310.8440394457418</v>
      </c>
      <c r="G10" s="21">
        <f t="shared" si="10"/>
        <v>1322.4078966945206</v>
      </c>
      <c r="H10" s="21">
        <f t="shared" ref="H10" si="11">(G10/G9)*H9</f>
        <v>1338.6405729140722</v>
      </c>
      <c r="I10" s="21">
        <f t="shared" ref="I10" si="12">(H10/H9)*I9</f>
        <v>1359.4642849939544</v>
      </c>
      <c r="J10" s="21">
        <f t="shared" ref="J10" si="13">(I10/I9)*J9</f>
        <v>1385.5309866532527</v>
      </c>
      <c r="K10" s="21">
        <f t="shared" ref="K10" si="14">(J10/J9)*K9</f>
        <v>1417.5217437095478</v>
      </c>
      <c r="L10" s="21">
        <f t="shared" ref="L10" si="15">(K10/K9)*L9</f>
        <v>1456.168612515675</v>
      </c>
    </row>
    <row r="11" spans="1:12" x14ac:dyDescent="0.3">
      <c r="A11" s="6" t="s">
        <v>60</v>
      </c>
      <c r="B11" s="23">
        <v>8625</v>
      </c>
      <c r="C11" s="21">
        <f>C9+C8-C10</f>
        <v>8601.3556810119098</v>
      </c>
      <c r="D11" s="21">
        <f t="shared" ref="D11:G11" si="16">D9+D8-D10</f>
        <v>8612.7896316762544</v>
      </c>
      <c r="E11" s="21">
        <f t="shared" si="16"/>
        <v>8657.3918427539083</v>
      </c>
      <c r="F11" s="21">
        <f t="shared" si="16"/>
        <v>8733.7646532513936</v>
      </c>
      <c r="G11" s="21">
        <f t="shared" si="16"/>
        <v>8840.9724021981201</v>
      </c>
      <c r="H11" s="21">
        <f t="shared" ref="H11" si="17">H9+H8-H10</f>
        <v>8978.5013756467506</v>
      </c>
      <c r="I11" s="21">
        <f t="shared" ref="I11" si="18">I9+I8-I10</f>
        <v>9150.6573633324624</v>
      </c>
      <c r="J11" s="21">
        <f t="shared" ref="J11" si="19">J9+J8-J10</f>
        <v>9361.9384241211992</v>
      </c>
      <c r="K11" s="21">
        <f t="shared" ref="K11" si="20">K9+K8-K10</f>
        <v>9617.1793808498242</v>
      </c>
      <c r="L11" s="21">
        <f t="shared" ref="L11" si="21">L9+L8-L10</f>
        <v>9921.7004466490907</v>
      </c>
    </row>
    <row r="12" spans="1:12" x14ac:dyDescent="0.3">
      <c r="B12" s="27"/>
      <c r="C12" s="28"/>
      <c r="D12" s="28"/>
      <c r="E12" s="28"/>
      <c r="F12" s="28"/>
      <c r="G12" s="28"/>
    </row>
    <row r="14" spans="1:12" x14ac:dyDescent="0.3">
      <c r="A14" s="71" t="s">
        <v>15</v>
      </c>
      <c r="B14" s="119"/>
      <c r="C14" s="119"/>
      <c r="D14" s="119"/>
      <c r="E14" s="119"/>
      <c r="F14" s="119"/>
      <c r="G14" s="119"/>
      <c r="H14" s="105"/>
      <c r="I14" s="105"/>
      <c r="J14" s="105"/>
      <c r="K14" s="105"/>
      <c r="L14" s="106"/>
    </row>
    <row r="15" spans="1:12" x14ac:dyDescent="0.3">
      <c r="A15" s="109" t="s">
        <v>32</v>
      </c>
      <c r="B15" s="118">
        <f>Working_Capital!B20</f>
        <v>84142.47</v>
      </c>
      <c r="C15" s="118">
        <f>Working_Capital!C20</f>
        <v>91930.432989794703</v>
      </c>
      <c r="D15" s="118">
        <f>Working_Capital!D20</f>
        <v>100623.08626180091</v>
      </c>
      <c r="E15" s="118">
        <f>Working_Capital!E20</f>
        <v>110338.93572277097</v>
      </c>
      <c r="F15" s="118">
        <f>Working_Capital!F20</f>
        <v>121213.59499145643</v>
      </c>
      <c r="G15" s="118">
        <f>Working_Capital!G20</f>
        <v>133402.45374369787</v>
      </c>
      <c r="H15" s="118">
        <f>Working_Capital!H20</f>
        <v>147083.79079173406</v>
      </c>
      <c r="I15" s="118">
        <f>Working_Capital!I20</f>
        <v>161874.07525471892</v>
      </c>
      <c r="J15" s="118">
        <f>Working_Capital!J20</f>
        <v>177827.87616187532</v>
      </c>
      <c r="K15" s="118">
        <f>Working_Capital!K20</f>
        <v>194998.37787216427</v>
      </c>
      <c r="L15" s="118">
        <f>Working_Capital!L20</f>
        <v>213436.81259197617</v>
      </c>
    </row>
    <row r="16" spans="1:12" x14ac:dyDescent="0.3">
      <c r="A16" s="6" t="s">
        <v>57</v>
      </c>
      <c r="B16" s="22">
        <f>CHOOSE(MATCH(Control!B14,{"Base","Mild","Severe","Upside"},0),Stress_Helper!D21,Stress_Helper!D22,Stress_Helper!D23,Stress_Helper!D24)</f>
        <v>2.7081448880690095E-2</v>
      </c>
      <c r="C16" s="17">
        <f>B16</f>
        <v>2.7081448880690095E-2</v>
      </c>
      <c r="D16" s="17">
        <f t="shared" ref="D16:G16" si="22">C16</f>
        <v>2.7081448880690095E-2</v>
      </c>
      <c r="E16" s="17">
        <f t="shared" si="22"/>
        <v>2.7081448880690095E-2</v>
      </c>
      <c r="F16" s="17">
        <f t="shared" si="22"/>
        <v>2.7081448880690095E-2</v>
      </c>
      <c r="G16" s="17">
        <f t="shared" si="22"/>
        <v>2.7081448880690095E-2</v>
      </c>
      <c r="H16" s="17">
        <f t="shared" ref="H16:L16" si="23">G16</f>
        <v>2.7081448880690095E-2</v>
      </c>
      <c r="I16" s="17">
        <f t="shared" si="23"/>
        <v>2.7081448880690095E-2</v>
      </c>
      <c r="J16" s="17">
        <f t="shared" si="23"/>
        <v>2.7081448880690095E-2</v>
      </c>
      <c r="K16" s="17">
        <f t="shared" si="23"/>
        <v>2.7081448880690095E-2</v>
      </c>
      <c r="L16" s="17">
        <f t="shared" si="23"/>
        <v>2.7081448880690095E-2</v>
      </c>
    </row>
    <row r="17" spans="1:12" x14ac:dyDescent="0.3">
      <c r="A17" s="6" t="s">
        <v>61</v>
      </c>
      <c r="B17" s="23">
        <v>2278.6999999999998</v>
      </c>
      <c r="C17" s="21">
        <f>C15*C16</f>
        <v>2489.6093215928313</v>
      </c>
      <c r="D17" s="21">
        <f t="shared" ref="D17:G17" si="24">D15*D16</f>
        <v>2725.0189668162311</v>
      </c>
      <c r="E17" s="21">
        <f t="shared" si="24"/>
        <v>2988.1382473259723</v>
      </c>
      <c r="F17" s="21">
        <f t="shared" si="24"/>
        <v>3282.6397764058001</v>
      </c>
      <c r="G17" s="21">
        <f t="shared" si="24"/>
        <v>3612.731731618579</v>
      </c>
      <c r="H17" s="21">
        <f t="shared" ref="H17" si="25">H15*H16</f>
        <v>3983.2421615044627</v>
      </c>
      <c r="I17" s="21">
        <f t="shared" ref="I17" si="26">I15*I16</f>
        <v>4383.7844941196518</v>
      </c>
      <c r="J17" s="21">
        <f t="shared" ref="J17" si="27">J15*J16</f>
        <v>4815.8365378395156</v>
      </c>
      <c r="K17" s="21">
        <f t="shared" ref="K17" si="28">K15*K16</f>
        <v>5280.8386021625074</v>
      </c>
      <c r="L17" s="21">
        <f t="shared" ref="L17" si="29">L15*L16</f>
        <v>5780.1781294670345</v>
      </c>
    </row>
    <row r="18" spans="1:12" x14ac:dyDescent="0.3">
      <c r="A18" s="6" t="s">
        <v>58</v>
      </c>
      <c r="B18" s="23">
        <v>23082.33</v>
      </c>
      <c r="C18" s="21">
        <f>B20</f>
        <v>17428.89</v>
      </c>
      <c r="D18" s="21">
        <f t="shared" ref="D18:G18" si="30">C20</f>
        <v>18772.295492949881</v>
      </c>
      <c r="E18" s="21">
        <f t="shared" si="30"/>
        <v>20262.762117853577</v>
      </c>
      <c r="F18" s="21">
        <f t="shared" si="30"/>
        <v>21918.328094750104</v>
      </c>
      <c r="G18" s="21">
        <f t="shared" si="30"/>
        <v>23759.517980792552</v>
      </c>
      <c r="H18" s="21">
        <f t="shared" ref="H18:L18" si="31">G20</f>
        <v>25809.71472158295</v>
      </c>
      <c r="I18" s="21">
        <f t="shared" si="31"/>
        <v>28095.591541401242</v>
      </c>
      <c r="J18" s="21">
        <f t="shared" si="31"/>
        <v>30631.680938888661</v>
      </c>
      <c r="K18" s="21">
        <f t="shared" si="31"/>
        <v>33433.037497227277</v>
      </c>
      <c r="L18" s="21">
        <f t="shared" si="31"/>
        <v>36515.166050586602</v>
      </c>
    </row>
    <row r="19" spans="1:12" x14ac:dyDescent="0.3">
      <c r="A19" s="6" t="s">
        <v>59</v>
      </c>
      <c r="B19" s="23">
        <v>1518</v>
      </c>
      <c r="C19" s="21">
        <f>(B19/B18)*C18</f>
        <v>1146.2038286429488</v>
      </c>
      <c r="D19" s="21">
        <f t="shared" ref="D19" si="32">(C19/C18)*D18</f>
        <v>1234.5523419125329</v>
      </c>
      <c r="E19" s="21">
        <f>(D19/D18)*E18</f>
        <v>1332.5722704294465</v>
      </c>
      <c r="F19" s="21">
        <f>(E19/E18)*F18</f>
        <v>1441.4498903633496</v>
      </c>
      <c r="G19" s="21">
        <f>(F19/F18)*G18</f>
        <v>1562.5349908281828</v>
      </c>
      <c r="H19" s="21">
        <f t="shared" ref="H19:L19" si="33">(G19/G18)*H18</f>
        <v>1697.3653416861691</v>
      </c>
      <c r="I19" s="21">
        <f t="shared" si="33"/>
        <v>1847.6950966322324</v>
      </c>
      <c r="J19" s="21">
        <f t="shared" si="33"/>
        <v>2014.4799795008989</v>
      </c>
      <c r="K19" s="21">
        <f t="shared" si="33"/>
        <v>2198.7100488031756</v>
      </c>
      <c r="L19" s="21">
        <f t="shared" si="33"/>
        <v>2401.4049736222669</v>
      </c>
    </row>
    <row r="20" spans="1:12" x14ac:dyDescent="0.3">
      <c r="A20" s="6" t="s">
        <v>60</v>
      </c>
      <c r="B20" s="23">
        <v>17428.89</v>
      </c>
      <c r="C20" s="21">
        <f>C18+C17-C19</f>
        <v>18772.295492949881</v>
      </c>
      <c r="D20" s="21">
        <f t="shared" ref="D20:G20" si="34">D18+D17-D19</f>
        <v>20262.762117853577</v>
      </c>
      <c r="E20" s="21">
        <f t="shared" si="34"/>
        <v>21918.328094750104</v>
      </c>
      <c r="F20" s="21">
        <f t="shared" si="34"/>
        <v>23759.517980792552</v>
      </c>
      <c r="G20" s="21">
        <f t="shared" si="34"/>
        <v>25809.71472158295</v>
      </c>
      <c r="H20" s="21">
        <f t="shared" ref="H20" si="35">H18+H17-H19</f>
        <v>28095.591541401242</v>
      </c>
      <c r="I20" s="21">
        <f t="shared" ref="I20" si="36">I18+I17-I19</f>
        <v>30631.680938888661</v>
      </c>
      <c r="J20" s="21">
        <f t="shared" ref="J20" si="37">J18+J17-J19</f>
        <v>33433.037497227277</v>
      </c>
      <c r="K20" s="21">
        <f t="shared" ref="K20" si="38">K18+K17-K19</f>
        <v>36515.166050586602</v>
      </c>
      <c r="L20" s="21">
        <f t="shared" ref="L20" si="39">L18+L17-L19</f>
        <v>39893.939206431372</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83A6C-6378-4509-8698-5BF599144EB2}">
  <dimension ref="A1:L20"/>
  <sheetViews>
    <sheetView workbookViewId="0">
      <selection activeCell="L14" sqref="A14:L14"/>
    </sheetView>
  </sheetViews>
  <sheetFormatPr defaultRowHeight="14.4" x14ac:dyDescent="0.3"/>
  <cols>
    <col min="1" max="1" width="16.109375" bestFit="1" customWidth="1"/>
    <col min="2" max="3" width="9.88671875" bestFit="1" customWidth="1"/>
    <col min="4" max="12" width="10.88671875" bestFit="1" customWidth="1"/>
  </cols>
  <sheetData>
    <row r="1" spans="1:12" x14ac:dyDescent="0.3">
      <c r="A1" t="s">
        <v>62</v>
      </c>
    </row>
    <row r="3" spans="1:12" x14ac:dyDescent="0.3">
      <c r="B3" s="116" t="s">
        <v>39</v>
      </c>
      <c r="C3" s="113" t="s">
        <v>34</v>
      </c>
      <c r="D3" s="113" t="s">
        <v>35</v>
      </c>
      <c r="E3" s="113" t="s">
        <v>36</v>
      </c>
      <c r="F3" s="113" t="s">
        <v>37</v>
      </c>
      <c r="G3" s="113" t="s">
        <v>38</v>
      </c>
      <c r="H3" s="113" t="s">
        <v>142</v>
      </c>
      <c r="I3" s="113" t="s">
        <v>143</v>
      </c>
      <c r="J3" s="113" t="s">
        <v>144</v>
      </c>
      <c r="K3" s="113" t="s">
        <v>145</v>
      </c>
      <c r="L3" s="117" t="s">
        <v>146</v>
      </c>
    </row>
    <row r="5" spans="1:12" x14ac:dyDescent="0.3">
      <c r="A5" s="71" t="s">
        <v>14</v>
      </c>
      <c r="B5" s="119"/>
      <c r="C5" s="119"/>
      <c r="D5" s="119"/>
      <c r="E5" s="119"/>
      <c r="F5" s="119"/>
      <c r="G5" s="119"/>
      <c r="H5" s="105"/>
      <c r="I5" s="105"/>
      <c r="J5" s="105"/>
      <c r="K5" s="105"/>
      <c r="L5" s="106"/>
    </row>
    <row r="6" spans="1:12" x14ac:dyDescent="0.3">
      <c r="A6" s="29" t="s">
        <v>32</v>
      </c>
      <c r="B6" s="30">
        <f>Capex_Depreciation!B6</f>
        <v>64138</v>
      </c>
      <c r="C6" s="30">
        <f>Capex_Depreciation!C6</f>
        <v>65585.20520370586</v>
      </c>
      <c r="D6" s="30">
        <f>Capex_Depreciation!D6</f>
        <v>67196.235451603061</v>
      </c>
      <c r="E6" s="30">
        <f>Capex_Depreciation!E6</f>
        <v>68981.231401158453</v>
      </c>
      <c r="F6" s="30">
        <f>Capex_Depreciation!F6</f>
        <v>70951.606317112179</v>
      </c>
      <c r="G6" s="30">
        <f>Capex_Depreciation!G6</f>
        <v>73120.166092614221</v>
      </c>
      <c r="H6" s="30">
        <f>Capex_Depreciation!H6</f>
        <v>75501.245904793424</v>
      </c>
      <c r="I6" s="30">
        <f>Capex_Depreciation!I6</f>
        <v>78337.369257678118</v>
      </c>
      <c r="J6" s="30">
        <f>Capex_Depreciation!J6</f>
        <v>81671.715389820049</v>
      </c>
      <c r="K6" s="30">
        <f>Capex_Depreciation!K6</f>
        <v>85556.342967068165</v>
      </c>
      <c r="L6" s="30">
        <f>Capex_Depreciation!L6</f>
        <v>90053.520404915296</v>
      </c>
    </row>
    <row r="7" spans="1:12" x14ac:dyDescent="0.3">
      <c r="A7" s="29" t="s">
        <v>42</v>
      </c>
      <c r="B7" s="30">
        <f>Operating_Margins!B8</f>
        <v>14976.223</v>
      </c>
      <c r="C7" s="30">
        <f>Operating_Margins!C8</f>
        <v>15314.145415065319</v>
      </c>
      <c r="D7" s="30">
        <f>Operating_Margins!D8</f>
        <v>15690.320977949315</v>
      </c>
      <c r="E7" s="30">
        <f>Operating_Margins!E8</f>
        <v>16107.1175321705</v>
      </c>
      <c r="F7" s="30">
        <f>Operating_Margins!F8</f>
        <v>16567.200075045694</v>
      </c>
      <c r="G7" s="30">
        <f>Operating_Margins!G8</f>
        <v>17073.558782625423</v>
      </c>
      <c r="H7" s="30">
        <f>Operating_Margins!H8</f>
        <v>17629.540918769264</v>
      </c>
      <c r="I7" s="30">
        <f>Operating_Margins!I8</f>
        <v>18291.77572166784</v>
      </c>
      <c r="J7" s="30">
        <f>Operating_Margins!J8</f>
        <v>19070.345543522981</v>
      </c>
      <c r="K7" s="30">
        <f>Operating_Margins!K8</f>
        <v>19977.406082810419</v>
      </c>
      <c r="L7" s="30">
        <f>Operating_Margins!L8</f>
        <v>21027.497014547724</v>
      </c>
    </row>
    <row r="8" spans="1:12" x14ac:dyDescent="0.3">
      <c r="A8" s="29" t="s">
        <v>59</v>
      </c>
      <c r="B8" s="30">
        <f>Capex_Depreciation!B10</f>
        <v>1216</v>
      </c>
      <c r="C8" s="30">
        <f>Capex_Depreciation!C10</f>
        <v>1305.9394844975718</v>
      </c>
      <c r="D8" s="30">
        <f>Capex_Depreciation!D10</f>
        <v>1302.3594207583715</v>
      </c>
      <c r="E8" s="30">
        <f>Capex_Depreciation!E10</f>
        <v>1304.09067265824</v>
      </c>
      <c r="F8" s="30">
        <f>Capex_Depreciation!F10</f>
        <v>1310.8440394457418</v>
      </c>
      <c r="G8" s="30">
        <f>Capex_Depreciation!G10</f>
        <v>1322.4078966945206</v>
      </c>
      <c r="H8" s="30">
        <f>Capex_Depreciation!H10</f>
        <v>1338.6405729140722</v>
      </c>
      <c r="I8" s="30">
        <f>Capex_Depreciation!I10</f>
        <v>1359.4642849939544</v>
      </c>
      <c r="J8" s="30">
        <f>Capex_Depreciation!J10</f>
        <v>1385.5309866532527</v>
      </c>
      <c r="K8" s="30">
        <f>Capex_Depreciation!K10</f>
        <v>1417.5217437095478</v>
      </c>
      <c r="L8" s="30">
        <f>Capex_Depreciation!L10</f>
        <v>1456.168612515675</v>
      </c>
    </row>
    <row r="9" spans="1:12" x14ac:dyDescent="0.3">
      <c r="A9" s="29" t="s">
        <v>43</v>
      </c>
      <c r="B9" s="31">
        <f>Operating_Margins!B10</f>
        <v>14495.188</v>
      </c>
      <c r="C9" s="31">
        <f>Operating_Margins!C10</f>
        <v>14822.256376037525</v>
      </c>
      <c r="D9" s="31">
        <f>Operating_Margins!D10</f>
        <v>15320.741682965498</v>
      </c>
      <c r="E9" s="31">
        <f>Operating_Margins!E10</f>
        <v>15865.683222266445</v>
      </c>
      <c r="F9" s="31">
        <f>Operating_Margins!F10</f>
        <v>16460.772665570028</v>
      </c>
      <c r="G9" s="31">
        <f>Operating_Margins!G10</f>
        <v>17110.118865671728</v>
      </c>
      <c r="H9" s="31">
        <f>Operating_Margins!H10</f>
        <v>17818.294033531249</v>
      </c>
      <c r="I9" s="31">
        <f>Operating_Margins!I10</f>
        <v>18644.293883327395</v>
      </c>
      <c r="J9" s="31">
        <f>Operating_Margins!J10</f>
        <v>19601.211693556812</v>
      </c>
      <c r="K9" s="31">
        <f>Operating_Margins!K10</f>
        <v>20704.634998030499</v>
      </c>
      <c r="L9" s="31">
        <f>Operating_Margins!L10</f>
        <v>21973.058978799334</v>
      </c>
    </row>
    <row r="10" spans="1:12" x14ac:dyDescent="0.3">
      <c r="A10" s="29" t="s">
        <v>63</v>
      </c>
      <c r="B10" s="31">
        <f>B9*Assumptions!$B$8</f>
        <v>3623.797</v>
      </c>
      <c r="C10" s="31">
        <f>C9*Assumptions!$B$8</f>
        <v>3705.5640940093813</v>
      </c>
      <c r="D10" s="31">
        <f>D9*Assumptions!$B$8</f>
        <v>3830.1854207413744</v>
      </c>
      <c r="E10" s="31">
        <f>E9*Assumptions!$B$8</f>
        <v>3966.4208055666113</v>
      </c>
      <c r="F10" s="31">
        <f>F9*Assumptions!$B$8</f>
        <v>4115.193166392507</v>
      </c>
      <c r="G10" s="31">
        <f>G9*Assumptions!$B$8</f>
        <v>4277.5297164179319</v>
      </c>
      <c r="H10" s="31">
        <f>H9*Assumptions!$B$8</f>
        <v>4454.5735083828122</v>
      </c>
      <c r="I10" s="31">
        <f>I9*Assumptions!$B$8</f>
        <v>4661.0734708318487</v>
      </c>
      <c r="J10" s="31">
        <f>J9*Assumptions!$B$8</f>
        <v>4900.302923389203</v>
      </c>
      <c r="K10" s="31">
        <f>K9*Assumptions!$B$8</f>
        <v>5176.1587495076246</v>
      </c>
      <c r="L10" s="31">
        <f>L9*Assumptions!$B$8</f>
        <v>5493.2647446998335</v>
      </c>
    </row>
    <row r="11" spans="1:12" x14ac:dyDescent="0.3">
      <c r="A11" s="29" t="s">
        <v>64</v>
      </c>
      <c r="B11" s="31">
        <f>B9-B10</f>
        <v>10871.391</v>
      </c>
      <c r="C11" s="31">
        <f t="shared" ref="C11:G11" si="0">C9-C10</f>
        <v>11116.692282028143</v>
      </c>
      <c r="D11" s="31">
        <f t="shared" si="0"/>
        <v>11490.556262224123</v>
      </c>
      <c r="E11" s="31">
        <f t="shared" si="0"/>
        <v>11899.262416699834</v>
      </c>
      <c r="F11" s="31">
        <f t="shared" si="0"/>
        <v>12345.579499177522</v>
      </c>
      <c r="G11" s="31">
        <f t="shared" si="0"/>
        <v>12832.589149253796</v>
      </c>
      <c r="H11" s="31">
        <f t="shared" ref="H11" si="1">H9-H10</f>
        <v>13363.720525148437</v>
      </c>
      <c r="I11" s="31">
        <f t="shared" ref="I11" si="2">I9-I10</f>
        <v>13983.220412495546</v>
      </c>
      <c r="J11" s="31">
        <f t="shared" ref="J11" si="3">J9-J10</f>
        <v>14700.908770167609</v>
      </c>
      <c r="K11" s="31">
        <f t="shared" ref="K11" si="4">K9-K10</f>
        <v>15528.476248522875</v>
      </c>
      <c r="L11" s="31">
        <f t="shared" ref="L11" si="5">L9-L10</f>
        <v>16479.7942340995</v>
      </c>
    </row>
    <row r="14" spans="1:12" x14ac:dyDescent="0.3">
      <c r="A14" s="71" t="s">
        <v>15</v>
      </c>
      <c r="B14" s="119"/>
      <c r="C14" s="119"/>
      <c r="D14" s="119"/>
      <c r="E14" s="119"/>
      <c r="F14" s="119"/>
      <c r="G14" s="119"/>
      <c r="H14" s="105"/>
      <c r="I14" s="105"/>
      <c r="J14" s="105"/>
      <c r="K14" s="105"/>
      <c r="L14" s="106"/>
    </row>
    <row r="15" spans="1:12" x14ac:dyDescent="0.3">
      <c r="A15" s="29" t="s">
        <v>32</v>
      </c>
      <c r="B15" s="30">
        <f>Capex_Depreciation!B15</f>
        <v>84142.47</v>
      </c>
      <c r="C15" s="30">
        <f>Capex_Depreciation!C15</f>
        <v>91930.432989794703</v>
      </c>
      <c r="D15" s="30">
        <f>Capex_Depreciation!D15</f>
        <v>100623.08626180091</v>
      </c>
      <c r="E15" s="30">
        <f>Capex_Depreciation!E15</f>
        <v>110338.93572277097</v>
      </c>
      <c r="F15" s="30">
        <f>Capex_Depreciation!F15</f>
        <v>121213.59499145643</v>
      </c>
      <c r="G15" s="30">
        <f>Capex_Depreciation!G15</f>
        <v>133402.45374369787</v>
      </c>
      <c r="H15" s="30">
        <f>Capex_Depreciation!H15</f>
        <v>147083.79079173406</v>
      </c>
      <c r="I15" s="30">
        <f>Capex_Depreciation!I15</f>
        <v>161874.07525471892</v>
      </c>
      <c r="J15" s="30">
        <f>Capex_Depreciation!J15</f>
        <v>177827.87616187532</v>
      </c>
      <c r="K15" s="30">
        <f>Capex_Depreciation!K15</f>
        <v>194998.37787216427</v>
      </c>
      <c r="L15" s="30">
        <f>Capex_Depreciation!L15</f>
        <v>213436.81259197617</v>
      </c>
    </row>
    <row r="16" spans="1:12" x14ac:dyDescent="0.3">
      <c r="A16" s="29" t="s">
        <v>42</v>
      </c>
      <c r="B16" s="30">
        <f>Operating_Margins!B17</f>
        <v>26579.25705952349</v>
      </c>
      <c r="C16" s="30">
        <f>Operating_Margins!C17</f>
        <v>29039.349689033992</v>
      </c>
      <c r="D16" s="30">
        <f>Operating_Margins!D17</f>
        <v>31785.219472105025</v>
      </c>
      <c r="E16" s="30">
        <f>Operating_Margins!E17</f>
        <v>34854.300524452978</v>
      </c>
      <c r="F16" s="30">
        <f>Operating_Margins!F17</f>
        <v>38289.431013694855</v>
      </c>
      <c r="G16" s="30">
        <f>Operating_Margins!G17</f>
        <v>42139.696046775636</v>
      </c>
      <c r="H16" s="30">
        <f>Operating_Margins!H17</f>
        <v>46461.411041804138</v>
      </c>
      <c r="I16" s="30">
        <f>Operating_Margins!I17</f>
        <v>51133.424743388496</v>
      </c>
      <c r="J16" s="30">
        <f>Operating_Margins!J17</f>
        <v>56172.974632852987</v>
      </c>
      <c r="K16" s="30">
        <f>Operating_Margins!K17</f>
        <v>61596.860796389163</v>
      </c>
      <c r="L16" s="30">
        <f>Operating_Margins!L17</f>
        <v>67421.266666494033</v>
      </c>
    </row>
    <row r="17" spans="1:12" x14ac:dyDescent="0.3">
      <c r="A17" s="29" t="s">
        <v>59</v>
      </c>
      <c r="B17" s="30">
        <f>Capex_Depreciation!B19</f>
        <v>1518</v>
      </c>
      <c r="C17" s="30">
        <f>Capex_Depreciation!C19</f>
        <v>1146.2038286429488</v>
      </c>
      <c r="D17" s="30">
        <f>Capex_Depreciation!D19</f>
        <v>1234.5523419125329</v>
      </c>
      <c r="E17" s="30">
        <f>Capex_Depreciation!E19</f>
        <v>1332.5722704294465</v>
      </c>
      <c r="F17" s="30">
        <f>Capex_Depreciation!F19</f>
        <v>1441.4498903633496</v>
      </c>
      <c r="G17" s="30">
        <f>Capex_Depreciation!G19</f>
        <v>1562.5349908281828</v>
      </c>
      <c r="H17" s="30">
        <f>Capex_Depreciation!H19</f>
        <v>1697.3653416861691</v>
      </c>
      <c r="I17" s="30">
        <f>Capex_Depreciation!I19</f>
        <v>1847.6950966322324</v>
      </c>
      <c r="J17" s="30">
        <f>Capex_Depreciation!J19</f>
        <v>2014.4799795008989</v>
      </c>
      <c r="K17" s="30">
        <f>Capex_Depreciation!K19</f>
        <v>2198.7100488031756</v>
      </c>
      <c r="L17" s="30">
        <f>Capex_Depreciation!L19</f>
        <v>2401.4049736222669</v>
      </c>
    </row>
    <row r="18" spans="1:12" x14ac:dyDescent="0.3">
      <c r="A18" s="29" t="s">
        <v>43</v>
      </c>
      <c r="B18" s="31">
        <f>Operating_Margins!B19</f>
        <v>25915.88076</v>
      </c>
      <c r="C18" s="31">
        <f>Operating_Margins!C19</f>
        <v>28314.573360856768</v>
      </c>
      <c r="D18" s="31">
        <f>Operating_Margins!D19</f>
        <v>31193.156741158284</v>
      </c>
      <c r="E18" s="31">
        <f>Operating_Margins!E19</f>
        <v>34425.74794550454</v>
      </c>
      <c r="F18" s="31">
        <f>Operating_Margins!F19</f>
        <v>38061.068827317315</v>
      </c>
      <c r="G18" s="31">
        <f>Operating_Margins!G19</f>
        <v>42155.175383008529</v>
      </c>
      <c r="H18" s="31">
        <f>Operating_Margins!H19</f>
        <v>46772.64547177143</v>
      </c>
      <c r="I18" s="31">
        <f>Operating_Margins!I19</f>
        <v>51799.704081510055</v>
      </c>
      <c r="J18" s="31">
        <f>Operating_Margins!J19</f>
        <v>57260.576124123858</v>
      </c>
      <c r="K18" s="31">
        <f>Operating_Margins!K19</f>
        <v>63179.474430581227</v>
      </c>
      <c r="L18" s="31">
        <f>Operating_Margins!L19</f>
        <v>69580.400904984228</v>
      </c>
    </row>
    <row r="19" spans="1:12" x14ac:dyDescent="0.3">
      <c r="A19" s="29" t="s">
        <v>63</v>
      </c>
      <c r="B19" s="31">
        <f>B18*Assumptions!$C$8</f>
        <v>6478.97019</v>
      </c>
      <c r="C19" s="31">
        <f>C18*Assumptions!$C$8</f>
        <v>7078.643340214192</v>
      </c>
      <c r="D19" s="31">
        <f>D18*Assumptions!$C$8</f>
        <v>7798.2891852895709</v>
      </c>
      <c r="E19" s="31">
        <f>E18*Assumptions!$C$8</f>
        <v>8606.4369863761349</v>
      </c>
      <c r="F19" s="31">
        <f>F18*Assumptions!$C$8</f>
        <v>9515.2672068293286</v>
      </c>
      <c r="G19" s="31">
        <f>G18*Assumptions!$C$8</f>
        <v>10538.793845752132</v>
      </c>
      <c r="H19" s="31">
        <f>H18*Assumptions!$C$8</f>
        <v>11693.161367942857</v>
      </c>
      <c r="I19" s="31">
        <f>I18*Assumptions!$C$8</f>
        <v>12949.926020377514</v>
      </c>
      <c r="J19" s="31">
        <f>J18*Assumptions!$C$8</f>
        <v>14315.144031030964</v>
      </c>
      <c r="K19" s="31">
        <f>K18*Assumptions!$C$8</f>
        <v>15794.868607645307</v>
      </c>
      <c r="L19" s="31">
        <f>L18*Assumptions!$C$8</f>
        <v>17395.100226246057</v>
      </c>
    </row>
    <row r="20" spans="1:12" x14ac:dyDescent="0.3">
      <c r="A20" s="29" t="s">
        <v>64</v>
      </c>
      <c r="B20" s="31">
        <f>B18-B19</f>
        <v>19436.91057</v>
      </c>
      <c r="C20" s="31">
        <f t="shared" ref="C20:G20" si="6">C18-C19</f>
        <v>21235.930020642576</v>
      </c>
      <c r="D20" s="31">
        <f t="shared" si="6"/>
        <v>23394.867555868714</v>
      </c>
      <c r="E20" s="31">
        <f t="shared" si="6"/>
        <v>25819.310959128405</v>
      </c>
      <c r="F20" s="31">
        <f t="shared" si="6"/>
        <v>28545.801620487986</v>
      </c>
      <c r="G20" s="31">
        <f t="shared" si="6"/>
        <v>31616.381537256399</v>
      </c>
      <c r="H20" s="31">
        <f t="shared" ref="H20" si="7">H18-H19</f>
        <v>35079.484103828574</v>
      </c>
      <c r="I20" s="31">
        <f t="shared" ref="I20" si="8">I18-I19</f>
        <v>38849.778061132543</v>
      </c>
      <c r="J20" s="31">
        <f t="shared" ref="J20" si="9">J18-J19</f>
        <v>42945.432093092895</v>
      </c>
      <c r="K20" s="31">
        <f t="shared" ref="K20" si="10">K18-K19</f>
        <v>47384.605822935919</v>
      </c>
      <c r="L20" s="31">
        <f t="shared" ref="L20" si="11">L18-L19</f>
        <v>52185.300678738175</v>
      </c>
    </row>
  </sheetData>
  <pageMargins left="0.7" right="0.7" top="0.75" bottom="0.75" header="0.3" footer="0.3"/>
  <ignoredErrors>
    <ignoredError sqref="B10:G10 B19:G19"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37A55-DA5E-40F2-A48E-21F497E7B2F4}">
  <dimension ref="A1:L16"/>
  <sheetViews>
    <sheetView workbookViewId="0">
      <selection activeCell="L12" sqref="A12:L12"/>
    </sheetView>
  </sheetViews>
  <sheetFormatPr defaultRowHeight="14.4" x14ac:dyDescent="0.3"/>
  <cols>
    <col min="1" max="1" width="19.88671875" style="1" bestFit="1" customWidth="1"/>
    <col min="2" max="2" width="10.109375" style="1" bestFit="1" customWidth="1"/>
    <col min="3" max="3" width="12.33203125" style="1" bestFit="1" customWidth="1"/>
    <col min="4" max="7" width="10.88671875" style="1" bestFit="1" customWidth="1"/>
    <col min="8" max="12" width="9.88671875" style="1" bestFit="1" customWidth="1"/>
    <col min="13" max="16384" width="8.88671875" style="1"/>
  </cols>
  <sheetData>
    <row r="1" spans="1:12" x14ac:dyDescent="0.3">
      <c r="A1" s="120" t="s">
        <v>65</v>
      </c>
      <c r="B1" s="120"/>
      <c r="C1" s="120"/>
      <c r="D1" s="120"/>
    </row>
    <row r="3" spans="1:12" x14ac:dyDescent="0.3">
      <c r="A3"/>
      <c r="B3" s="116" t="s">
        <v>39</v>
      </c>
      <c r="C3" s="113" t="s">
        <v>34</v>
      </c>
      <c r="D3" s="113" t="s">
        <v>35</v>
      </c>
      <c r="E3" s="113" t="s">
        <v>36</v>
      </c>
      <c r="F3" s="113" t="s">
        <v>37</v>
      </c>
      <c r="G3" s="113" t="s">
        <v>38</v>
      </c>
      <c r="H3" s="113" t="s">
        <v>142</v>
      </c>
      <c r="I3" s="113" t="s">
        <v>143</v>
      </c>
      <c r="J3" s="113" t="s">
        <v>144</v>
      </c>
      <c r="K3" s="113" t="s">
        <v>145</v>
      </c>
      <c r="L3" s="117" t="s">
        <v>146</v>
      </c>
    </row>
    <row r="4" spans="1:12" x14ac:dyDescent="0.3">
      <c r="A4"/>
      <c r="B4"/>
      <c r="C4"/>
      <c r="D4"/>
      <c r="E4"/>
      <c r="F4"/>
      <c r="G4"/>
      <c r="H4"/>
      <c r="I4"/>
      <c r="J4"/>
      <c r="K4"/>
      <c r="L4"/>
    </row>
    <row r="5" spans="1:12" x14ac:dyDescent="0.3">
      <c r="A5" s="71" t="s">
        <v>14</v>
      </c>
      <c r="B5" s="119"/>
      <c r="C5" s="119"/>
      <c r="D5" s="119"/>
      <c r="E5" s="119"/>
      <c r="F5" s="119"/>
      <c r="G5" s="119"/>
      <c r="H5" s="105"/>
      <c r="I5" s="105"/>
      <c r="J5" s="105"/>
      <c r="K5" s="105"/>
      <c r="L5" s="106"/>
    </row>
    <row r="6" spans="1:12" x14ac:dyDescent="0.3">
      <c r="A6" s="6" t="s">
        <v>66</v>
      </c>
      <c r="B6" s="19">
        <f>Capex_Depreciation!B11</f>
        <v>8625</v>
      </c>
      <c r="C6" s="19">
        <f>Capex_Depreciation!C11</f>
        <v>8601.3556810119098</v>
      </c>
      <c r="D6" s="19">
        <f>Capex_Depreciation!D11</f>
        <v>8612.7896316762544</v>
      </c>
      <c r="E6" s="19">
        <f>Capex_Depreciation!E11</f>
        <v>8657.3918427539083</v>
      </c>
      <c r="F6" s="19">
        <f>Capex_Depreciation!F11</f>
        <v>8733.7646532513936</v>
      </c>
      <c r="G6" s="19">
        <f>Capex_Depreciation!G11</f>
        <v>8840.9724021981201</v>
      </c>
      <c r="H6" s="19">
        <f>Capex_Depreciation!H11</f>
        <v>8978.5013756467506</v>
      </c>
      <c r="I6" s="19">
        <f>Capex_Depreciation!I11</f>
        <v>9150.6573633324624</v>
      </c>
      <c r="J6" s="19">
        <f>Capex_Depreciation!J11</f>
        <v>9361.9384241211992</v>
      </c>
      <c r="K6" s="19">
        <f>Capex_Depreciation!K11</f>
        <v>9617.1793808498242</v>
      </c>
      <c r="L6" s="19">
        <f>Capex_Depreciation!L11</f>
        <v>9921.7004466490907</v>
      </c>
    </row>
    <row r="7" spans="1:12" x14ac:dyDescent="0.3">
      <c r="A7" s="6" t="s">
        <v>51</v>
      </c>
      <c r="B7" s="19">
        <f>Working_Capital!B15</f>
        <v>-3081</v>
      </c>
      <c r="C7" s="19">
        <f>Working_Capital!C15</f>
        <v>-3178.9125848176536</v>
      </c>
      <c r="D7" s="19">
        <f>Working_Capital!D15</f>
        <v>-3286.0897339313433</v>
      </c>
      <c r="E7" s="19">
        <f>Working_Capital!E15</f>
        <v>-3403.2445140659584</v>
      </c>
      <c r="F7" s="19">
        <f>Working_Capital!F15</f>
        <v>-3531.1708883450356</v>
      </c>
      <c r="G7" s="19">
        <f>Working_Capital!G15</f>
        <v>-3670.7524962324551</v>
      </c>
      <c r="H7" s="19">
        <f>Working_Capital!H15</f>
        <v>-3822.9725875083714</v>
      </c>
      <c r="I7" s="19">
        <f>Working_Capital!I15</f>
        <v>-4000.4922392785811</v>
      </c>
      <c r="J7" s="19">
        <f>Working_Capital!J15</f>
        <v>-4206.1261915471732</v>
      </c>
      <c r="K7" s="19">
        <f>Working_Capital!K15</f>
        <v>-4443.2250950347643</v>
      </c>
      <c r="L7" s="19">
        <f>Working_Capital!L15</f>
        <v>-4715.7643955518888</v>
      </c>
    </row>
    <row r="8" spans="1:12" x14ac:dyDescent="0.3">
      <c r="A8" s="6" t="s">
        <v>68</v>
      </c>
      <c r="B8" s="32">
        <f>28244+1009</f>
        <v>29253</v>
      </c>
      <c r="C8" s="32">
        <f>B8</f>
        <v>29253</v>
      </c>
      <c r="D8" s="32">
        <f t="shared" ref="D8:G8" si="0">C8</f>
        <v>29253</v>
      </c>
      <c r="E8" s="32">
        <f t="shared" si="0"/>
        <v>29253</v>
      </c>
      <c r="F8" s="32">
        <f t="shared" si="0"/>
        <v>29253</v>
      </c>
      <c r="G8" s="32">
        <f t="shared" si="0"/>
        <v>29253</v>
      </c>
      <c r="H8" s="32">
        <f t="shared" ref="H8:L8" si="1">G8</f>
        <v>29253</v>
      </c>
      <c r="I8" s="32">
        <f t="shared" si="1"/>
        <v>29253</v>
      </c>
      <c r="J8" s="32">
        <f t="shared" si="1"/>
        <v>29253</v>
      </c>
      <c r="K8" s="32">
        <f t="shared" si="1"/>
        <v>29253</v>
      </c>
      <c r="L8" s="32">
        <f t="shared" si="1"/>
        <v>29253</v>
      </c>
    </row>
    <row r="9" spans="1:12" x14ac:dyDescent="0.3">
      <c r="A9" s="6" t="s">
        <v>67</v>
      </c>
      <c r="B9" s="15">
        <f>B6+B7+B8</f>
        <v>34797</v>
      </c>
      <c r="C9" s="15">
        <f t="shared" ref="C9:G9" si="2">C6+C7+C8</f>
        <v>34675.443096194256</v>
      </c>
      <c r="D9" s="15">
        <f t="shared" si="2"/>
        <v>34579.699897744911</v>
      </c>
      <c r="E9" s="15">
        <f t="shared" si="2"/>
        <v>34507.147328687948</v>
      </c>
      <c r="F9" s="15">
        <f t="shared" si="2"/>
        <v>34455.593764906356</v>
      </c>
      <c r="G9" s="15">
        <f t="shared" si="2"/>
        <v>34423.219905965663</v>
      </c>
      <c r="H9" s="15">
        <f t="shared" ref="H9" si="3">H6+H7+H8</f>
        <v>34408.528788138377</v>
      </c>
      <c r="I9" s="15">
        <f t="shared" ref="I9" si="4">I6+I7+I8</f>
        <v>34403.165124053878</v>
      </c>
      <c r="J9" s="15">
        <f t="shared" ref="J9" si="5">J6+J7+J8</f>
        <v>34408.812232574026</v>
      </c>
      <c r="K9" s="15">
        <f t="shared" ref="K9" si="6">K6+K7+K8</f>
        <v>34426.95428581506</v>
      </c>
      <c r="L9" s="15">
        <f t="shared" ref="L9" si="7">L6+L7+L8</f>
        <v>34458.936051097204</v>
      </c>
    </row>
    <row r="12" spans="1:12" x14ac:dyDescent="0.3">
      <c r="A12" s="71" t="s">
        <v>15</v>
      </c>
      <c r="B12" s="119"/>
      <c r="C12" s="119"/>
      <c r="D12" s="119"/>
      <c r="E12" s="119"/>
      <c r="F12" s="119"/>
      <c r="G12" s="119"/>
      <c r="H12" s="105"/>
      <c r="I12" s="105"/>
      <c r="J12" s="105"/>
      <c r="K12" s="105"/>
      <c r="L12" s="106"/>
    </row>
    <row r="13" spans="1:12" x14ac:dyDescent="0.3">
      <c r="A13" s="6" t="s">
        <v>66</v>
      </c>
      <c r="B13" s="19">
        <f>Capex_Depreciation!B20</f>
        <v>17428.89</v>
      </c>
      <c r="C13" s="19">
        <f>Capex_Depreciation!C20</f>
        <v>18772.295492949881</v>
      </c>
      <c r="D13" s="19">
        <f>Capex_Depreciation!D20</f>
        <v>20262.762117853577</v>
      </c>
      <c r="E13" s="19">
        <f>Capex_Depreciation!E20</f>
        <v>21918.328094750104</v>
      </c>
      <c r="F13" s="19">
        <f>Capex_Depreciation!F20</f>
        <v>23759.517980792552</v>
      </c>
      <c r="G13" s="19">
        <f>Capex_Depreciation!G20</f>
        <v>25809.71472158295</v>
      </c>
      <c r="H13" s="19">
        <f>Capex_Depreciation!H20</f>
        <v>28095.591541401242</v>
      </c>
      <c r="I13" s="19">
        <f>Capex_Depreciation!I20</f>
        <v>30631.680938888661</v>
      </c>
      <c r="J13" s="19">
        <f>Capex_Depreciation!J20</f>
        <v>33433.037497227277</v>
      </c>
      <c r="K13" s="19">
        <f>Capex_Depreciation!K20</f>
        <v>36515.166050586602</v>
      </c>
      <c r="L13" s="19">
        <f>Capex_Depreciation!L20</f>
        <v>39893.939206431372</v>
      </c>
    </row>
    <row r="14" spans="1:12" x14ac:dyDescent="0.3">
      <c r="A14" s="6" t="s">
        <v>51</v>
      </c>
      <c r="B14" s="19">
        <f>Working_Capital!B29</f>
        <v>15549.93</v>
      </c>
      <c r="C14" s="19">
        <f>Working_Capital!C29</f>
        <v>17050.066054599785</v>
      </c>
      <c r="D14" s="19">
        <f>Working_Capital!D29</f>
        <v>18728.907063685445</v>
      </c>
      <c r="E14" s="19">
        <f>Working_Capital!E29</f>
        <v>20610.386399495765</v>
      </c>
      <c r="F14" s="19">
        <f>Working_Capital!F29</f>
        <v>22721.958275721248</v>
      </c>
      <c r="G14" s="19">
        <f>Working_Capital!G29</f>
        <v>25095.156356460127</v>
      </c>
      <c r="H14" s="19">
        <f>Working_Capital!H29</f>
        <v>27766.246924488623</v>
      </c>
      <c r="I14" s="19">
        <f>Working_Capital!I29</f>
        <v>30665.538917502887</v>
      </c>
      <c r="J14" s="19">
        <f>Working_Capital!J29</f>
        <v>33805.609358727073</v>
      </c>
      <c r="K14" s="19">
        <f>Working_Capital!K29</f>
        <v>37198.91568346187</v>
      </c>
      <c r="L14" s="19">
        <f>Working_Capital!L29</f>
        <v>40857.682522175863</v>
      </c>
    </row>
    <row r="15" spans="1:12" x14ac:dyDescent="0.3">
      <c r="A15" s="6" t="s">
        <v>68</v>
      </c>
      <c r="B15" s="32">
        <f>1087.6+2724.74</f>
        <v>3812.3399999999997</v>
      </c>
      <c r="C15" s="32">
        <f>B15</f>
        <v>3812.3399999999997</v>
      </c>
      <c r="D15" s="32">
        <f t="shared" ref="D15:G15" si="8">C15</f>
        <v>3812.3399999999997</v>
      </c>
      <c r="E15" s="32">
        <f t="shared" si="8"/>
        <v>3812.3399999999997</v>
      </c>
      <c r="F15" s="32">
        <f t="shared" si="8"/>
        <v>3812.3399999999997</v>
      </c>
      <c r="G15" s="32">
        <f t="shared" si="8"/>
        <v>3812.3399999999997</v>
      </c>
      <c r="H15" s="32">
        <f t="shared" ref="H15:L15" si="9">G15</f>
        <v>3812.3399999999997</v>
      </c>
      <c r="I15" s="32">
        <f t="shared" si="9"/>
        <v>3812.3399999999997</v>
      </c>
      <c r="J15" s="32">
        <f t="shared" si="9"/>
        <v>3812.3399999999997</v>
      </c>
      <c r="K15" s="32">
        <f t="shared" si="9"/>
        <v>3812.3399999999997</v>
      </c>
      <c r="L15" s="32">
        <f t="shared" si="9"/>
        <v>3812.3399999999997</v>
      </c>
    </row>
    <row r="16" spans="1:12" x14ac:dyDescent="0.3">
      <c r="A16" s="6" t="s">
        <v>67</v>
      </c>
      <c r="B16" s="21">
        <f>B13+B14+B15</f>
        <v>36791.159999999996</v>
      </c>
      <c r="C16" s="21">
        <f t="shared" ref="C16:G16" si="10">C13+C14+C15</f>
        <v>39634.701547549659</v>
      </c>
      <c r="D16" s="21">
        <f t="shared" si="10"/>
        <v>42804.009181539019</v>
      </c>
      <c r="E16" s="21">
        <f t="shared" si="10"/>
        <v>46341.054494245865</v>
      </c>
      <c r="F16" s="21">
        <f t="shared" si="10"/>
        <v>50293.816256513797</v>
      </c>
      <c r="G16" s="21">
        <f t="shared" si="10"/>
        <v>54717.211078043074</v>
      </c>
      <c r="H16" s="21">
        <f t="shared" ref="H16" si="11">H13+H14+H15</f>
        <v>59674.178465889861</v>
      </c>
      <c r="I16" s="21">
        <f t="shared" ref="I16" si="12">I13+I14+I15</f>
        <v>65109.559856391541</v>
      </c>
      <c r="J16" s="21">
        <f t="shared" ref="J16" si="13">J13+J14+J15</f>
        <v>71050.986855954339</v>
      </c>
      <c r="K16" s="21">
        <f t="shared" ref="K16" si="14">K13+K14+K15</f>
        <v>77526.421734048461</v>
      </c>
      <c r="L16" s="21">
        <f t="shared" ref="L16" si="15">L13+L14+L15</f>
        <v>84563.961728607232</v>
      </c>
    </row>
  </sheetData>
  <mergeCells count="1">
    <mergeCell ref="A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81224-9D28-471C-8403-3C74DB535865}">
  <dimension ref="A1:L18"/>
  <sheetViews>
    <sheetView workbookViewId="0">
      <selection activeCell="L13" sqref="A13:L13"/>
    </sheetView>
  </sheetViews>
  <sheetFormatPr defaultRowHeight="14.4" x14ac:dyDescent="0.3"/>
  <cols>
    <col min="1" max="1" width="13.6640625" style="1" bestFit="1" customWidth="1"/>
    <col min="2" max="2" width="10.109375" style="1" bestFit="1" customWidth="1"/>
    <col min="3" max="3" width="12.33203125" style="1" bestFit="1" customWidth="1"/>
    <col min="4" max="7" width="10.88671875" style="1" bestFit="1" customWidth="1"/>
    <col min="8" max="12" width="9.88671875" style="1" bestFit="1" customWidth="1"/>
    <col min="13" max="16384" width="8.88671875" style="1"/>
  </cols>
  <sheetData>
    <row r="1" spans="1:12" x14ac:dyDescent="0.3">
      <c r="A1" s="120" t="s">
        <v>69</v>
      </c>
      <c r="B1" s="120"/>
      <c r="C1" s="120"/>
      <c r="D1" s="120"/>
    </row>
    <row r="3" spans="1:12" x14ac:dyDescent="0.3">
      <c r="A3"/>
      <c r="B3" s="116" t="s">
        <v>39</v>
      </c>
      <c r="C3" s="113" t="s">
        <v>34</v>
      </c>
      <c r="D3" s="113" t="s">
        <v>35</v>
      </c>
      <c r="E3" s="113" t="s">
        <v>36</v>
      </c>
      <c r="F3" s="113" t="s">
        <v>37</v>
      </c>
      <c r="G3" s="113" t="s">
        <v>38</v>
      </c>
      <c r="H3" s="113" t="s">
        <v>142</v>
      </c>
      <c r="I3" s="113" t="s">
        <v>143</v>
      </c>
      <c r="J3" s="113" t="s">
        <v>144</v>
      </c>
      <c r="K3" s="113" t="s">
        <v>145</v>
      </c>
      <c r="L3" s="117" t="s">
        <v>146</v>
      </c>
    </row>
    <row r="4" spans="1:12" x14ac:dyDescent="0.3">
      <c r="A4"/>
      <c r="B4"/>
      <c r="C4"/>
      <c r="D4"/>
      <c r="E4"/>
      <c r="F4"/>
      <c r="G4"/>
      <c r="H4"/>
      <c r="I4"/>
      <c r="J4"/>
      <c r="K4"/>
      <c r="L4"/>
    </row>
    <row r="5" spans="1:12" x14ac:dyDescent="0.3">
      <c r="A5" s="71" t="s">
        <v>14</v>
      </c>
      <c r="B5" s="119"/>
      <c r="C5" s="119"/>
      <c r="D5" s="119"/>
      <c r="E5" s="119"/>
      <c r="F5" s="119"/>
      <c r="G5" s="119"/>
      <c r="H5" s="105"/>
      <c r="I5" s="105"/>
      <c r="J5" s="105"/>
      <c r="K5" s="105"/>
      <c r="L5" s="106"/>
    </row>
    <row r="6" spans="1:12" x14ac:dyDescent="0.3">
      <c r="A6" s="6" t="s">
        <v>64</v>
      </c>
      <c r="B6" s="19">
        <f>'Income-Statement'!B11</f>
        <v>10871.391</v>
      </c>
      <c r="C6" s="19">
        <f>'Income-Statement'!C11</f>
        <v>11116.692282028143</v>
      </c>
      <c r="D6" s="19">
        <f>'Income-Statement'!D11</f>
        <v>11490.556262224123</v>
      </c>
      <c r="E6" s="19">
        <f>'Income-Statement'!E11</f>
        <v>11899.262416699834</v>
      </c>
      <c r="F6" s="19">
        <f>'Income-Statement'!F11</f>
        <v>12345.579499177522</v>
      </c>
      <c r="G6" s="19">
        <f>'Income-Statement'!G11</f>
        <v>12832.589149253796</v>
      </c>
      <c r="H6" s="19">
        <f>'Income-Statement'!H11</f>
        <v>13363.720525148437</v>
      </c>
      <c r="I6" s="19">
        <f>'Income-Statement'!I11</f>
        <v>13983.220412495546</v>
      </c>
      <c r="J6" s="19">
        <f>'Income-Statement'!J11</f>
        <v>14700.908770167609</v>
      </c>
      <c r="K6" s="19">
        <f>'Income-Statement'!K11</f>
        <v>15528.476248522875</v>
      </c>
      <c r="L6" s="19">
        <f>'Income-Statement'!L11</f>
        <v>16479.7942340995</v>
      </c>
    </row>
    <row r="7" spans="1:12" x14ac:dyDescent="0.3">
      <c r="A7" s="6" t="s">
        <v>59</v>
      </c>
      <c r="B7" s="19">
        <f>'Income-Statement'!B8</f>
        <v>1216</v>
      </c>
      <c r="C7" s="19">
        <f>'Income-Statement'!C8</f>
        <v>1305.9394844975718</v>
      </c>
      <c r="D7" s="19">
        <f>'Income-Statement'!D8</f>
        <v>1302.3594207583715</v>
      </c>
      <c r="E7" s="19">
        <f>'Income-Statement'!E8</f>
        <v>1304.09067265824</v>
      </c>
      <c r="F7" s="19">
        <f>'Income-Statement'!F8</f>
        <v>1310.8440394457418</v>
      </c>
      <c r="G7" s="19">
        <f>'Income-Statement'!G8</f>
        <v>1322.4078966945206</v>
      </c>
      <c r="H7" s="19">
        <f>'Income-Statement'!H8</f>
        <v>1338.6405729140722</v>
      </c>
      <c r="I7" s="19">
        <f>'Income-Statement'!I8</f>
        <v>1359.4642849939544</v>
      </c>
      <c r="J7" s="19">
        <f>'Income-Statement'!J8</f>
        <v>1385.5309866532527</v>
      </c>
      <c r="K7" s="19">
        <f>'Income-Statement'!K8</f>
        <v>1417.5217437095478</v>
      </c>
      <c r="L7" s="19">
        <f>'Income-Statement'!L8</f>
        <v>1456.168612515675</v>
      </c>
    </row>
    <row r="8" spans="1:12" x14ac:dyDescent="0.3">
      <c r="A8" s="6" t="s">
        <v>61</v>
      </c>
      <c r="B8" s="19">
        <f>Capex_Depreciation!B8</f>
        <v>1254</v>
      </c>
      <c r="C8" s="19">
        <f>Capex_Depreciation!C8</f>
        <v>1282.2951655094819</v>
      </c>
      <c r="D8" s="19">
        <f>Capex_Depreciation!D8</f>
        <v>1313.7933714227174</v>
      </c>
      <c r="E8" s="19">
        <f>Capex_Depreciation!E8</f>
        <v>1348.692883735893</v>
      </c>
      <c r="F8" s="19">
        <f>Capex_Depreciation!F8</f>
        <v>1387.2168499432269</v>
      </c>
      <c r="G8" s="19">
        <f>Capex_Depreciation!G8</f>
        <v>1429.6156456412461</v>
      </c>
      <c r="H8" s="19">
        <f>Capex_Depreciation!H8</f>
        <v>1476.1695463627018</v>
      </c>
      <c r="I8" s="19">
        <f>Capex_Depreciation!I8</f>
        <v>1531.6202726796653</v>
      </c>
      <c r="J8" s="19">
        <f>Capex_Depreciation!J8</f>
        <v>1596.81204744199</v>
      </c>
      <c r="K8" s="19">
        <f>Capex_Depreciation!K8</f>
        <v>1672.7627004381723</v>
      </c>
      <c r="L8" s="19">
        <f>Capex_Depreciation!L8</f>
        <v>1760.6896783149425</v>
      </c>
    </row>
    <row r="9" spans="1:12" x14ac:dyDescent="0.3">
      <c r="A9" s="6" t="s">
        <v>70</v>
      </c>
      <c r="B9" s="20">
        <f>Working_Capital!B16</f>
        <v>0</v>
      </c>
      <c r="C9" s="20">
        <f>Working_Capital!C16</f>
        <v>-97.912584817653624</v>
      </c>
      <c r="D9" s="20">
        <f>Working_Capital!D16</f>
        <v>-107.17714911368967</v>
      </c>
      <c r="E9" s="20">
        <f>Working_Capital!E16</f>
        <v>-117.15478013461507</v>
      </c>
      <c r="F9" s="20">
        <f>Working_Capital!F16</f>
        <v>-127.92637427907721</v>
      </c>
      <c r="G9" s="20">
        <f>Working_Capital!G16</f>
        <v>-139.58160788741952</v>
      </c>
      <c r="H9" s="20">
        <f>Working_Capital!H16</f>
        <v>-152.22009127591627</v>
      </c>
      <c r="I9" s="20">
        <f>Working_Capital!I16</f>
        <v>-177.51965177020975</v>
      </c>
      <c r="J9" s="20">
        <f>Working_Capital!J16</f>
        <v>-205.63395226859211</v>
      </c>
      <c r="K9" s="20">
        <f>Working_Capital!K16</f>
        <v>-237.09890348759109</v>
      </c>
      <c r="L9" s="20">
        <f>Working_Capital!L16</f>
        <v>-272.5393005171245</v>
      </c>
    </row>
    <row r="10" spans="1:12" x14ac:dyDescent="0.3">
      <c r="A10" s="6" t="s">
        <v>71</v>
      </c>
      <c r="B10" s="20">
        <f>B6+B7-B8-B9</f>
        <v>10833.391</v>
      </c>
      <c r="C10" s="20">
        <f t="shared" ref="C10:G10" si="0">C6+C7-C8-C9</f>
        <v>11238.249185833887</v>
      </c>
      <c r="D10" s="20">
        <f t="shared" si="0"/>
        <v>11586.299460673468</v>
      </c>
      <c r="E10" s="20">
        <f t="shared" si="0"/>
        <v>11971.814985756795</v>
      </c>
      <c r="F10" s="20">
        <f t="shared" si="0"/>
        <v>12397.133062959114</v>
      </c>
      <c r="G10" s="20">
        <f t="shared" si="0"/>
        <v>12864.963008194489</v>
      </c>
      <c r="H10" s="20">
        <f t="shared" ref="H10" si="1">H6+H7-H8-H9</f>
        <v>13378.411642975723</v>
      </c>
      <c r="I10" s="20">
        <f t="shared" ref="I10" si="2">I6+I7-I8-I9</f>
        <v>13988.584076580044</v>
      </c>
      <c r="J10" s="20">
        <f t="shared" ref="J10" si="3">J6+J7-J8-J9</f>
        <v>14695.261661647464</v>
      </c>
      <c r="K10" s="20">
        <f t="shared" ref="K10" si="4">K6+K7-K8-K9</f>
        <v>15510.334195281843</v>
      </c>
      <c r="L10" s="20">
        <f t="shared" ref="L10" si="5">L6+L7-L8-L9</f>
        <v>16447.812468817356</v>
      </c>
    </row>
    <row r="13" spans="1:12" x14ac:dyDescent="0.3">
      <c r="A13" s="71" t="s">
        <v>15</v>
      </c>
      <c r="B13" s="119"/>
      <c r="C13" s="119"/>
      <c r="D13" s="119"/>
      <c r="E13" s="119"/>
      <c r="F13" s="119"/>
      <c r="G13" s="119"/>
      <c r="H13" s="105"/>
      <c r="I13" s="105"/>
      <c r="J13" s="105"/>
      <c r="K13" s="105"/>
      <c r="L13" s="106"/>
    </row>
    <row r="14" spans="1:12" x14ac:dyDescent="0.3">
      <c r="A14" s="6" t="s">
        <v>64</v>
      </c>
      <c r="B14" s="19">
        <f>'Income-Statement'!B20</f>
        <v>19436.91057</v>
      </c>
      <c r="C14" s="19">
        <f>'Income-Statement'!C20</f>
        <v>21235.930020642576</v>
      </c>
      <c r="D14" s="19">
        <f>'Income-Statement'!D20</f>
        <v>23394.867555868714</v>
      </c>
      <c r="E14" s="19">
        <f>'Income-Statement'!E20</f>
        <v>25819.310959128405</v>
      </c>
      <c r="F14" s="19">
        <f>'Income-Statement'!F20</f>
        <v>28545.801620487986</v>
      </c>
      <c r="G14" s="19">
        <f>'Income-Statement'!G20</f>
        <v>31616.381537256399</v>
      </c>
      <c r="H14" s="19">
        <f>'Income-Statement'!H20</f>
        <v>35079.484103828574</v>
      </c>
      <c r="I14" s="19">
        <f>'Income-Statement'!I20</f>
        <v>38849.778061132543</v>
      </c>
      <c r="J14" s="19">
        <f>'Income-Statement'!J20</f>
        <v>42945.432093092895</v>
      </c>
      <c r="K14" s="19">
        <f>'Income-Statement'!K20</f>
        <v>47384.605822935919</v>
      </c>
      <c r="L14" s="19">
        <f>'Income-Statement'!L20</f>
        <v>52185.300678738175</v>
      </c>
    </row>
    <row r="15" spans="1:12" x14ac:dyDescent="0.3">
      <c r="A15" s="6" t="s">
        <v>59</v>
      </c>
      <c r="B15" s="19">
        <f>'Income-Statement'!B17</f>
        <v>1518</v>
      </c>
      <c r="C15" s="19">
        <f>'Income-Statement'!C17</f>
        <v>1146.2038286429488</v>
      </c>
      <c r="D15" s="19">
        <f>'Income-Statement'!D17</f>
        <v>1234.5523419125329</v>
      </c>
      <c r="E15" s="19">
        <f>'Income-Statement'!E17</f>
        <v>1332.5722704294465</v>
      </c>
      <c r="F15" s="19">
        <f>'Income-Statement'!F17</f>
        <v>1441.4498903633496</v>
      </c>
      <c r="G15" s="19">
        <f>'Income-Statement'!G17</f>
        <v>1562.5349908281828</v>
      </c>
      <c r="H15" s="19">
        <f>'Income-Statement'!H17</f>
        <v>1697.3653416861691</v>
      </c>
      <c r="I15" s="19">
        <f>'Income-Statement'!I17</f>
        <v>1847.6950966322324</v>
      </c>
      <c r="J15" s="19">
        <f>'Income-Statement'!J17</f>
        <v>2014.4799795008989</v>
      </c>
      <c r="K15" s="19">
        <f>'Income-Statement'!K17</f>
        <v>2198.7100488031756</v>
      </c>
      <c r="L15" s="19">
        <f>'Income-Statement'!L17</f>
        <v>2401.4049736222669</v>
      </c>
    </row>
    <row r="16" spans="1:12" x14ac:dyDescent="0.3">
      <c r="A16" s="6" t="s">
        <v>61</v>
      </c>
      <c r="B16" s="19">
        <f>Capex_Depreciation!B17</f>
        <v>2278.6999999999998</v>
      </c>
      <c r="C16" s="19">
        <f>Capex_Depreciation!C17</f>
        <v>2489.6093215928313</v>
      </c>
      <c r="D16" s="19">
        <f>Capex_Depreciation!D17</f>
        <v>2725.0189668162311</v>
      </c>
      <c r="E16" s="19">
        <f>Capex_Depreciation!E17</f>
        <v>2988.1382473259723</v>
      </c>
      <c r="F16" s="19">
        <f>Capex_Depreciation!F17</f>
        <v>3282.6397764058001</v>
      </c>
      <c r="G16" s="19">
        <f>Capex_Depreciation!G17</f>
        <v>3612.731731618579</v>
      </c>
      <c r="H16" s="19">
        <f>Capex_Depreciation!H17</f>
        <v>3983.2421615044627</v>
      </c>
      <c r="I16" s="19">
        <f>Capex_Depreciation!I17</f>
        <v>4383.7844941196518</v>
      </c>
      <c r="J16" s="19">
        <f>Capex_Depreciation!J17</f>
        <v>4815.8365378395156</v>
      </c>
      <c r="K16" s="19">
        <f>Capex_Depreciation!K17</f>
        <v>5280.8386021625074</v>
      </c>
      <c r="L16" s="19">
        <f>Capex_Depreciation!L17</f>
        <v>5780.1781294670345</v>
      </c>
    </row>
    <row r="17" spans="1:12" x14ac:dyDescent="0.3">
      <c r="A17" s="6" t="s">
        <v>70</v>
      </c>
      <c r="B17" s="20">
        <f>Working_Capital!B30</f>
        <v>0</v>
      </c>
      <c r="C17" s="20">
        <f>Working_Capital!C30</f>
        <v>1500.136054599785</v>
      </c>
      <c r="D17" s="20">
        <f>Working_Capital!D30</f>
        <v>1678.8410090856596</v>
      </c>
      <c r="E17" s="20">
        <f>Working_Capital!E30</f>
        <v>1881.4793358103198</v>
      </c>
      <c r="F17" s="20">
        <f>Working_Capital!F30</f>
        <v>2111.5718762254837</v>
      </c>
      <c r="G17" s="20">
        <f>Working_Capital!G30</f>
        <v>2373.1980807388791</v>
      </c>
      <c r="H17" s="20">
        <f>Working_Capital!H30</f>
        <v>2671.0905680284959</v>
      </c>
      <c r="I17" s="20">
        <f>Working_Capital!I30</f>
        <v>2899.2919930142634</v>
      </c>
      <c r="J17" s="20">
        <f>Working_Capital!J30</f>
        <v>3140.0704412241867</v>
      </c>
      <c r="K17" s="20">
        <f>Working_Capital!K30</f>
        <v>3393.3063247347964</v>
      </c>
      <c r="L17" s="20">
        <f>Working_Capital!L30</f>
        <v>3658.7668387139929</v>
      </c>
    </row>
    <row r="18" spans="1:12" x14ac:dyDescent="0.3">
      <c r="A18" s="6" t="s">
        <v>71</v>
      </c>
      <c r="B18" s="20">
        <f>B14+B15-B16-B17</f>
        <v>18676.210569999999</v>
      </c>
      <c r="C18" s="20">
        <f t="shared" ref="C18:G18" si="6">C14+C15-C16-C17</f>
        <v>18392.388473092909</v>
      </c>
      <c r="D18" s="20">
        <f t="shared" si="6"/>
        <v>20225.559921879358</v>
      </c>
      <c r="E18" s="20">
        <f t="shared" si="6"/>
        <v>22282.265646421558</v>
      </c>
      <c r="F18" s="20">
        <f t="shared" si="6"/>
        <v>24593.039858220051</v>
      </c>
      <c r="G18" s="20">
        <f t="shared" si="6"/>
        <v>27192.986715727126</v>
      </c>
      <c r="H18" s="20">
        <f t="shared" ref="H18" si="7">H14+H15-H16-H17</f>
        <v>30122.516715981783</v>
      </c>
      <c r="I18" s="20">
        <f t="shared" ref="I18" si="8">I14+I15-I16-I17</f>
        <v>33414.396670630857</v>
      </c>
      <c r="J18" s="20">
        <f t="shared" ref="J18" si="9">J14+J15-J16-J17</f>
        <v>37004.005093530097</v>
      </c>
      <c r="K18" s="20">
        <f t="shared" ref="K18" si="10">K14+K15-K16-K17</f>
        <v>40909.17094484179</v>
      </c>
      <c r="L18" s="20">
        <f t="shared" ref="L18" si="11">L14+L15-L16-L17</f>
        <v>45147.760684179411</v>
      </c>
    </row>
  </sheetData>
  <mergeCells count="1">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641A-E173-4EF3-BCF5-50433718DDFA}">
  <dimension ref="A1:L18"/>
  <sheetViews>
    <sheetView workbookViewId="0">
      <selection activeCell="A5" sqref="A5:L5"/>
    </sheetView>
  </sheetViews>
  <sheetFormatPr defaultRowHeight="14.4" x14ac:dyDescent="0.3"/>
  <cols>
    <col min="1" max="1" width="15.21875" style="1" bestFit="1" customWidth="1"/>
    <col min="2" max="2" width="10.109375" style="1" bestFit="1" customWidth="1"/>
    <col min="3" max="3" width="12.33203125" style="1" bestFit="1" customWidth="1"/>
    <col min="4" max="7" width="10.88671875" style="1" bestFit="1" customWidth="1"/>
    <col min="8" max="12" width="9.88671875" style="1" bestFit="1" customWidth="1"/>
    <col min="13" max="16384" width="8.88671875" style="1"/>
  </cols>
  <sheetData>
    <row r="1" spans="1:12" x14ac:dyDescent="0.3">
      <c r="A1" s="120" t="s">
        <v>72</v>
      </c>
      <c r="B1" s="120"/>
      <c r="C1" s="120"/>
    </row>
    <row r="3" spans="1:12" x14ac:dyDescent="0.3">
      <c r="A3"/>
      <c r="B3" s="116" t="s">
        <v>39</v>
      </c>
      <c r="C3" s="113" t="s">
        <v>34</v>
      </c>
      <c r="D3" s="113" t="s">
        <v>35</v>
      </c>
      <c r="E3" s="113" t="s">
        <v>36</v>
      </c>
      <c r="F3" s="113" t="s">
        <v>37</v>
      </c>
      <c r="G3" s="113" t="s">
        <v>38</v>
      </c>
      <c r="H3" s="113" t="s">
        <v>142</v>
      </c>
      <c r="I3" s="113" t="s">
        <v>143</v>
      </c>
      <c r="J3" s="113" t="s">
        <v>144</v>
      </c>
      <c r="K3" s="113" t="s">
        <v>145</v>
      </c>
      <c r="L3" s="117" t="s">
        <v>146</v>
      </c>
    </row>
    <row r="4" spans="1:12" x14ac:dyDescent="0.3">
      <c r="A4"/>
      <c r="B4"/>
      <c r="C4"/>
      <c r="D4"/>
      <c r="E4"/>
      <c r="F4"/>
      <c r="G4"/>
      <c r="H4"/>
      <c r="I4"/>
      <c r="J4"/>
      <c r="K4"/>
      <c r="L4"/>
    </row>
    <row r="5" spans="1:12" x14ac:dyDescent="0.3">
      <c r="A5" s="71" t="s">
        <v>14</v>
      </c>
      <c r="B5" s="119"/>
      <c r="C5" s="119"/>
      <c r="D5" s="119"/>
      <c r="E5" s="119"/>
      <c r="F5" s="119"/>
      <c r="G5" s="119"/>
      <c r="H5" s="105"/>
      <c r="I5" s="105"/>
      <c r="J5" s="105"/>
      <c r="K5" s="105"/>
      <c r="L5" s="106"/>
    </row>
    <row r="6" spans="1:12" x14ac:dyDescent="0.3">
      <c r="A6" s="6" t="s">
        <v>43</v>
      </c>
      <c r="B6" s="19">
        <f>'Income-Statement'!B9</f>
        <v>14495.188</v>
      </c>
      <c r="C6" s="19">
        <f>'Income-Statement'!C9</f>
        <v>14822.256376037525</v>
      </c>
      <c r="D6" s="19">
        <f>'Income-Statement'!D9</f>
        <v>15320.741682965498</v>
      </c>
      <c r="E6" s="19">
        <f>'Income-Statement'!E9</f>
        <v>15865.683222266445</v>
      </c>
      <c r="F6" s="19">
        <f>'Income-Statement'!F9</f>
        <v>16460.772665570028</v>
      </c>
      <c r="G6" s="19">
        <f>'Income-Statement'!G9</f>
        <v>17110.118865671728</v>
      </c>
      <c r="H6" s="19">
        <f>'Income-Statement'!H9</f>
        <v>17818.294033531249</v>
      </c>
      <c r="I6" s="19">
        <f>'Income-Statement'!I9</f>
        <v>18644.293883327395</v>
      </c>
      <c r="J6" s="19">
        <f>'Income-Statement'!J9</f>
        <v>19601.211693556812</v>
      </c>
      <c r="K6" s="19">
        <f>'Income-Statement'!K9</f>
        <v>20704.634998030499</v>
      </c>
      <c r="L6" s="19">
        <f>'Income-Statement'!L9</f>
        <v>21973.058978799334</v>
      </c>
    </row>
    <row r="7" spans="1:12" x14ac:dyDescent="0.3">
      <c r="A7" s="6" t="s">
        <v>67</v>
      </c>
      <c r="B7" s="19">
        <f>Balance_Sheet!B9</f>
        <v>34797</v>
      </c>
      <c r="C7" s="19">
        <f>Balance_Sheet!C9</f>
        <v>34675.443096194256</v>
      </c>
      <c r="D7" s="19">
        <f>Balance_Sheet!D9</f>
        <v>34579.699897744911</v>
      </c>
      <c r="E7" s="19">
        <f>Balance_Sheet!E9</f>
        <v>34507.147328687948</v>
      </c>
      <c r="F7" s="19">
        <f>Balance_Sheet!F9</f>
        <v>34455.593764906356</v>
      </c>
      <c r="G7" s="19">
        <f>Balance_Sheet!G9</f>
        <v>34423.219905965663</v>
      </c>
      <c r="H7" s="19">
        <f>Balance_Sheet!H9</f>
        <v>34408.528788138377</v>
      </c>
      <c r="I7" s="19">
        <f>Balance_Sheet!I9</f>
        <v>34403.165124053878</v>
      </c>
      <c r="J7" s="19">
        <f>Balance_Sheet!J9</f>
        <v>34408.812232574026</v>
      </c>
      <c r="K7" s="19">
        <f>Balance_Sheet!K9</f>
        <v>34426.95428581506</v>
      </c>
      <c r="L7" s="19">
        <f>Balance_Sheet!L9</f>
        <v>34458.936051097204</v>
      </c>
    </row>
    <row r="8" spans="1:12" x14ac:dyDescent="0.3">
      <c r="A8" s="6" t="s">
        <v>73</v>
      </c>
      <c r="B8" s="22">
        <f>B6/B7</f>
        <v>0.41656430152024598</v>
      </c>
      <c r="C8" s="22">
        <f t="shared" ref="C8:G8" si="0">C6/C7</f>
        <v>0.42745687012329242</v>
      </c>
      <c r="D8" s="22">
        <f t="shared" si="0"/>
        <v>0.4430559469362147</v>
      </c>
      <c r="E8" s="22">
        <f t="shared" si="0"/>
        <v>0.4597796239469587</v>
      </c>
      <c r="F8" s="22">
        <f t="shared" si="0"/>
        <v>0.47773876073311561</v>
      </c>
      <c r="G8" s="22">
        <f t="shared" si="0"/>
        <v>0.49705166781061305</v>
      </c>
      <c r="H8" s="22">
        <f t="shared" ref="H8" si="1">H6/H7</f>
        <v>0.51784527444468165</v>
      </c>
      <c r="I8" s="22">
        <f t="shared" ref="I8" si="2">I6/I7</f>
        <v>0.54193542414188356</v>
      </c>
      <c r="J8" s="22">
        <f t="shared" ref="J8" si="3">J6/J7</f>
        <v>0.56965673679955742</v>
      </c>
      <c r="K8" s="22">
        <f t="shared" ref="K8" si="4">K6/K7</f>
        <v>0.60140768846814396</v>
      </c>
      <c r="L8" s="22">
        <f t="shared" ref="L8" si="5">L6/L7</f>
        <v>0.6376592401522998</v>
      </c>
    </row>
    <row r="9" spans="1:12" x14ac:dyDescent="0.3">
      <c r="A9" s="6" t="s">
        <v>74</v>
      </c>
      <c r="B9" s="33">
        <v>1.0820000000000001</v>
      </c>
      <c r="C9" s="16">
        <f>ROCE_Drivers!B8</f>
        <v>1.0820000000000001</v>
      </c>
      <c r="D9" s="16">
        <f>ROCE_Drivers!C8</f>
        <v>1.0915752212389382</v>
      </c>
      <c r="E9" s="16">
        <f>ROCE_Drivers!D8</f>
        <v>1.1011504424778762</v>
      </c>
      <c r="F9" s="16">
        <f>ROCE_Drivers!E8</f>
        <v>1.1107256637168144</v>
      </c>
      <c r="G9" s="16">
        <f>ROCE_Drivers!F8</f>
        <v>1.1203008849557523</v>
      </c>
      <c r="H9" s="16">
        <f>ROCE_Drivers!G8</f>
        <v>1.1298761061946905</v>
      </c>
      <c r="I9" s="16">
        <f>ROCE_Drivers!H8</f>
        <v>1.1394513274336284</v>
      </c>
      <c r="J9" s="16">
        <f>ROCE_Drivers!I8</f>
        <v>1.1490265486725666</v>
      </c>
      <c r="K9" s="16">
        <f>ROCE_Drivers!J8</f>
        <v>1.1586017699115048</v>
      </c>
      <c r="L9" s="16">
        <f>ROCE_Drivers!K8</f>
        <v>1.1681769911504427</v>
      </c>
    </row>
    <row r="10" spans="1:12" x14ac:dyDescent="0.3">
      <c r="A10" s="6" t="s">
        <v>75</v>
      </c>
      <c r="B10" s="22">
        <f>B8-B9</f>
        <v>-0.66543569847975403</v>
      </c>
      <c r="C10" s="22">
        <f t="shared" ref="C10:G10" si="6">C8-C9</f>
        <v>-0.65454312987670771</v>
      </c>
      <c r="D10" s="22">
        <f t="shared" si="6"/>
        <v>-0.64851927430272349</v>
      </c>
      <c r="E10" s="22">
        <f t="shared" si="6"/>
        <v>-0.64137081853091749</v>
      </c>
      <c r="F10" s="22">
        <f t="shared" si="6"/>
        <v>-0.63298690298369875</v>
      </c>
      <c r="G10" s="22">
        <f t="shared" si="6"/>
        <v>-0.62324921714513926</v>
      </c>
      <c r="H10" s="22">
        <f t="shared" ref="H10" si="7">H8-H9</f>
        <v>-0.61203083175000883</v>
      </c>
      <c r="I10" s="22">
        <f t="shared" ref="I10" si="8">I8-I9</f>
        <v>-0.59751590329174487</v>
      </c>
      <c r="J10" s="22">
        <f t="shared" ref="J10" si="9">J8-J9</f>
        <v>-0.57936981187300918</v>
      </c>
      <c r="K10" s="22">
        <f t="shared" ref="K10" si="10">K8-K9</f>
        <v>-0.5571940814433608</v>
      </c>
      <c r="L10" s="22">
        <f t="shared" ref="L10" si="11">L8-L9</f>
        <v>-0.53051775099814291</v>
      </c>
    </row>
    <row r="13" spans="1:12" x14ac:dyDescent="0.3">
      <c r="A13" s="71" t="s">
        <v>15</v>
      </c>
      <c r="B13" s="119"/>
      <c r="C13" s="119"/>
      <c r="D13" s="119"/>
      <c r="E13" s="119"/>
      <c r="F13" s="119"/>
      <c r="G13" s="119"/>
      <c r="H13" s="105"/>
      <c r="I13" s="105"/>
      <c r="J13" s="105"/>
      <c r="K13" s="105"/>
      <c r="L13" s="106"/>
    </row>
    <row r="14" spans="1:12" x14ac:dyDescent="0.3">
      <c r="A14" s="6" t="s">
        <v>43</v>
      </c>
      <c r="B14" s="19">
        <f>'Income-Statement'!B18</f>
        <v>25915.88076</v>
      </c>
      <c r="C14" s="19">
        <f>'Income-Statement'!C18</f>
        <v>28314.573360856768</v>
      </c>
      <c r="D14" s="19">
        <f>'Income-Statement'!D18</f>
        <v>31193.156741158284</v>
      </c>
      <c r="E14" s="19">
        <f>'Income-Statement'!E18</f>
        <v>34425.74794550454</v>
      </c>
      <c r="F14" s="19">
        <f>'Income-Statement'!F18</f>
        <v>38061.068827317315</v>
      </c>
      <c r="G14" s="19">
        <f>'Income-Statement'!G18</f>
        <v>42155.175383008529</v>
      </c>
      <c r="H14" s="19">
        <f>'Income-Statement'!H18</f>
        <v>46772.64547177143</v>
      </c>
      <c r="I14" s="19">
        <f>'Income-Statement'!I18</f>
        <v>51799.704081510055</v>
      </c>
      <c r="J14" s="19">
        <f>'Income-Statement'!J18</f>
        <v>57260.576124123858</v>
      </c>
      <c r="K14" s="19">
        <f>'Income-Statement'!K18</f>
        <v>63179.474430581227</v>
      </c>
      <c r="L14" s="19">
        <f>'Income-Statement'!L18</f>
        <v>69580.400904984228</v>
      </c>
    </row>
    <row r="15" spans="1:12" x14ac:dyDescent="0.3">
      <c r="A15" s="6" t="s">
        <v>67</v>
      </c>
      <c r="B15" s="19">
        <f>Balance_Sheet!B16</f>
        <v>36791.159999999996</v>
      </c>
      <c r="C15" s="19">
        <f>Balance_Sheet!C16</f>
        <v>39634.701547549659</v>
      </c>
      <c r="D15" s="19">
        <f>Balance_Sheet!D16</f>
        <v>42804.009181539019</v>
      </c>
      <c r="E15" s="19">
        <f>Balance_Sheet!E16</f>
        <v>46341.054494245865</v>
      </c>
      <c r="F15" s="19">
        <f>Balance_Sheet!F16</f>
        <v>50293.816256513797</v>
      </c>
      <c r="G15" s="19">
        <f>Balance_Sheet!G16</f>
        <v>54717.211078043074</v>
      </c>
      <c r="H15" s="19">
        <f>Balance_Sheet!H16</f>
        <v>59674.178465889861</v>
      </c>
      <c r="I15" s="19">
        <f>Balance_Sheet!I16</f>
        <v>65109.559856391541</v>
      </c>
      <c r="J15" s="19">
        <f>Balance_Sheet!J16</f>
        <v>71050.986855954339</v>
      </c>
      <c r="K15" s="19">
        <f>Balance_Sheet!K16</f>
        <v>77526.421734048461</v>
      </c>
      <c r="L15" s="19">
        <f>Balance_Sheet!L16</f>
        <v>84563.961728607232</v>
      </c>
    </row>
    <row r="16" spans="1:12" x14ac:dyDescent="0.3">
      <c r="A16" s="6" t="s">
        <v>73</v>
      </c>
      <c r="B16" s="22">
        <f>B14/B15</f>
        <v>0.70440510057307248</v>
      </c>
      <c r="C16" s="22">
        <f t="shared" ref="C16:G16" si="12">C14/C15</f>
        <v>0.71438845898430292</v>
      </c>
      <c r="D16" s="22">
        <f t="shared" si="12"/>
        <v>0.72874381016186707</v>
      </c>
      <c r="E16" s="22">
        <f t="shared" si="12"/>
        <v>0.7428779582428181</v>
      </c>
      <c r="F16" s="22">
        <f t="shared" si="12"/>
        <v>0.75677432456495763</v>
      </c>
      <c r="G16" s="22">
        <f t="shared" si="12"/>
        <v>0.77041893313755827</v>
      </c>
      <c r="H16" s="22">
        <f t="shared" ref="H16" si="13">H14/H15</f>
        <v>0.78380040872296164</v>
      </c>
      <c r="I16" s="22">
        <f t="shared" ref="I16" si="14">I14/I15</f>
        <v>0.79557754952977289</v>
      </c>
      <c r="J16" s="22">
        <f t="shared" ref="J16" si="15">J14/J15</f>
        <v>0.8059082450214442</v>
      </c>
      <c r="K16" s="22">
        <f t="shared" ref="K16" si="16">K14/K15</f>
        <v>0.81494119059584735</v>
      </c>
      <c r="L16" s="22">
        <f t="shared" ref="L16" si="17">L14/L15</f>
        <v>0.82281387345935808</v>
      </c>
    </row>
    <row r="17" spans="1:12" x14ac:dyDescent="0.3">
      <c r="A17" s="6" t="s">
        <v>74</v>
      </c>
      <c r="B17" s="33">
        <v>0.38790000000000002</v>
      </c>
      <c r="C17" s="16">
        <f>ROCE_Drivers!B13</f>
        <v>0.38790000000000002</v>
      </c>
      <c r="D17" s="16">
        <f>ROCE_Drivers!C13</f>
        <v>0.39041883116883119</v>
      </c>
      <c r="E17" s="16">
        <f>ROCE_Drivers!D13</f>
        <v>0.39293766233766236</v>
      </c>
      <c r="F17" s="16">
        <f>ROCE_Drivers!E13</f>
        <v>0.39545649350649353</v>
      </c>
      <c r="G17" s="16">
        <f>ROCE_Drivers!F13</f>
        <v>0.3979753246753247</v>
      </c>
      <c r="H17" s="16">
        <f>ROCE_Drivers!G13</f>
        <v>0.40049415584415587</v>
      </c>
      <c r="I17" s="16">
        <f>ROCE_Drivers!H13</f>
        <v>0.40301298701298705</v>
      </c>
      <c r="J17" s="16">
        <f>ROCE_Drivers!I13</f>
        <v>0.40553181818181822</v>
      </c>
      <c r="K17" s="16">
        <f>ROCE_Drivers!J13</f>
        <v>0.40805064935064939</v>
      </c>
      <c r="L17" s="16">
        <f>ROCE_Drivers!K13</f>
        <v>0.41056948051948056</v>
      </c>
    </row>
    <row r="18" spans="1:12" x14ac:dyDescent="0.3">
      <c r="A18" s="6" t="s">
        <v>75</v>
      </c>
      <c r="B18" s="17">
        <f>B16-B17</f>
        <v>0.31650510057307246</v>
      </c>
      <c r="C18" s="17">
        <f t="shared" ref="C18:G18" si="18">C16-C17</f>
        <v>0.3264884589843029</v>
      </c>
      <c r="D18" s="17">
        <f t="shared" si="18"/>
        <v>0.33832497899303587</v>
      </c>
      <c r="E18" s="17">
        <f t="shared" si="18"/>
        <v>0.34994029590515574</v>
      </c>
      <c r="F18" s="17">
        <f t="shared" si="18"/>
        <v>0.3613178310584641</v>
      </c>
      <c r="G18" s="17">
        <f t="shared" si="18"/>
        <v>0.37244360846223357</v>
      </c>
      <c r="H18" s="17">
        <f t="shared" ref="H18" si="19">H16-H17</f>
        <v>0.38330625287880576</v>
      </c>
      <c r="I18" s="17">
        <f t="shared" ref="I18" si="20">I16-I17</f>
        <v>0.39256456251678584</v>
      </c>
      <c r="J18" s="17">
        <f t="shared" ref="J18" si="21">J16-J17</f>
        <v>0.40037642683962599</v>
      </c>
      <c r="K18" s="17">
        <f t="shared" ref="K18" si="22">K16-K17</f>
        <v>0.40689054124519797</v>
      </c>
      <c r="L18" s="17">
        <f t="shared" ref="L18" si="23">L16-L17</f>
        <v>0.41224439293987752</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8AA8F-4960-4F2E-A23F-F670392FF0FB}">
  <dimension ref="A1:C20"/>
  <sheetViews>
    <sheetView workbookViewId="0">
      <selection activeCell="B20" sqref="B20"/>
    </sheetView>
  </sheetViews>
  <sheetFormatPr defaultRowHeight="14.4" x14ac:dyDescent="0.3"/>
  <cols>
    <col min="1" max="1" width="22.6640625" style="1" bestFit="1" customWidth="1"/>
    <col min="2" max="3" width="10.88671875" style="8" bestFit="1" customWidth="1"/>
    <col min="4" max="16384" width="8.88671875" style="1"/>
  </cols>
  <sheetData>
    <row r="1" spans="1:3" x14ac:dyDescent="0.3">
      <c r="A1" s="1" t="s">
        <v>76</v>
      </c>
    </row>
    <row r="3" spans="1:3" x14ac:dyDescent="0.3">
      <c r="B3" s="8" t="s">
        <v>14</v>
      </c>
      <c r="C3" s="8" t="s">
        <v>15</v>
      </c>
    </row>
    <row r="5" spans="1:3" x14ac:dyDescent="0.3">
      <c r="A5" s="1" t="e" vm="3">
        <v>#VALUE!</v>
      </c>
      <c r="B5" s="26" cm="1">
        <f t="array" aca="1" ref="B5" ca="1">_FV(A5,"Price")/100</f>
        <v>6.541000000000001E-2</v>
      </c>
      <c r="C5" s="26">
        <f ca="1">B5</f>
        <v>6.541000000000001E-2</v>
      </c>
    </row>
    <row r="6" spans="1:3" x14ac:dyDescent="0.3">
      <c r="A6" s="1" t="s">
        <v>77</v>
      </c>
      <c r="B6" s="10">
        <v>7.2599999999999998E-2</v>
      </c>
      <c r="C6" s="10">
        <v>7.2599999999999998E-2</v>
      </c>
    </row>
    <row r="7" spans="1:3" x14ac:dyDescent="0.3">
      <c r="A7" s="1" t="s">
        <v>78</v>
      </c>
      <c r="B7" s="35" cm="1">
        <f t="array" aca="1" ref="B7" ca="1">TRANSPOSE(_FV(Control!B3,"Beta"))</f>
        <v>0.74729999999999996</v>
      </c>
      <c r="C7" s="34" cm="1">
        <f t="array" aca="1" ref="C7" ca="1">_FV(Control!B4,"Beta")</f>
        <v>0.74870000000000003</v>
      </c>
    </row>
    <row r="8" spans="1:3" x14ac:dyDescent="0.3">
      <c r="A8" s="1" t="s">
        <v>79</v>
      </c>
      <c r="B8" s="36">
        <f ca="1">(B5+B7)*B6</f>
        <v>5.9002745999999995E-2</v>
      </c>
      <c r="C8" s="36">
        <f ca="1">(C5+C7)*C6</f>
        <v>5.9104385999999995E-2</v>
      </c>
    </row>
    <row r="10" spans="1:3" x14ac:dyDescent="0.3">
      <c r="A10" s="1" t="s">
        <v>80</v>
      </c>
      <c r="B10" s="26">
        <f>395/(1243+405)</f>
        <v>0.23968446601941748</v>
      </c>
      <c r="C10" s="26">
        <f>36.35/(1.76+37.54+117.45)</f>
        <v>0.23189792663476874</v>
      </c>
    </row>
    <row r="11" spans="1:3" x14ac:dyDescent="0.3">
      <c r="A11" s="1" t="s">
        <v>81</v>
      </c>
      <c r="B11" s="26">
        <f>B10*(1-Assumptions!$B$8)</f>
        <v>0.1797633495145631</v>
      </c>
      <c r="C11" s="26">
        <f>C10*(1-Assumptions!$B$8)</f>
        <v>0.17392344497607656</v>
      </c>
    </row>
    <row r="13" spans="1:3" x14ac:dyDescent="0.3">
      <c r="A13" s="1" t="s">
        <v>82</v>
      </c>
      <c r="B13" s="37" cm="1">
        <f t="array" aca="1" ref="B13" ca="1">_FV(Control!B3,"Market cap",TRUE)/10000000</f>
        <v>541016.9</v>
      </c>
      <c r="C13" s="37" cm="1">
        <f t="array" aca="1" ref="C13" ca="1">_FV(Control!B4,"Market cap",TRUE)/10000000</f>
        <v>510367.2</v>
      </c>
    </row>
    <row r="14" spans="1:3" x14ac:dyDescent="0.3">
      <c r="A14" s="1" t="s">
        <v>83</v>
      </c>
      <c r="B14" s="39">
        <f>1243+1+404</f>
        <v>1648</v>
      </c>
      <c r="C14" s="39">
        <f>117.45+1.76+37.54</f>
        <v>156.75</v>
      </c>
    </row>
    <row r="15" spans="1:3" x14ac:dyDescent="0.3">
      <c r="A15" s="1" t="s">
        <v>84</v>
      </c>
      <c r="B15" s="38">
        <f ca="1">B13+B14</f>
        <v>542664.9</v>
      </c>
      <c r="C15" s="38">
        <f ca="1">C13+C14</f>
        <v>510523.95</v>
      </c>
    </row>
    <row r="16" spans="1:3" x14ac:dyDescent="0.3">
      <c r="A16" s="1" t="s">
        <v>85</v>
      </c>
      <c r="B16" s="24">
        <f ca="1">B13/$B$15</f>
        <v>0.99696313507654544</v>
      </c>
      <c r="C16" s="24">
        <f ca="1">C13/$C$15</f>
        <v>0.99969296249470763</v>
      </c>
    </row>
    <row r="17" spans="1:3" x14ac:dyDescent="0.3">
      <c r="A17" s="1" t="s">
        <v>86</v>
      </c>
      <c r="B17" s="24">
        <f ca="1">B14/$B$15</f>
        <v>3.0368649234546034E-3</v>
      </c>
      <c r="C17" s="24">
        <f ca="1">C14/$C$15</f>
        <v>3.0703750529235697E-4</v>
      </c>
    </row>
    <row r="20" spans="1:3" x14ac:dyDescent="0.3">
      <c r="A20" s="6" t="s">
        <v>87</v>
      </c>
      <c r="B20" s="36">
        <f>Sensitivity!J4</f>
        <v>5.9700000000000003E-2</v>
      </c>
      <c r="C20" s="36">
        <f>Sensitivity!K4</f>
        <v>5.9299999999999999E-2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5DAE-3011-453D-8B39-7BE912941665}">
  <dimension ref="A1:K25"/>
  <sheetViews>
    <sheetView workbookViewId="0">
      <selection activeCell="H23" sqref="H23"/>
    </sheetView>
  </sheetViews>
  <sheetFormatPr defaultRowHeight="14.4" x14ac:dyDescent="0.3"/>
  <cols>
    <col min="1" max="1" width="20.6640625" style="1" bestFit="1" customWidth="1"/>
    <col min="2" max="3" width="12.33203125" style="1" bestFit="1" customWidth="1"/>
    <col min="4" max="6" width="10.88671875" style="1" bestFit="1" customWidth="1"/>
    <col min="7" max="11" width="9.88671875" style="1" bestFit="1" customWidth="1"/>
    <col min="12" max="16384" width="8.88671875" style="1"/>
  </cols>
  <sheetData>
    <row r="1" spans="1:11" x14ac:dyDescent="0.3">
      <c r="A1" s="13" t="s">
        <v>88</v>
      </c>
    </row>
    <row r="3" spans="1:11" x14ac:dyDescent="0.3">
      <c r="B3" s="113" t="s">
        <v>34</v>
      </c>
      <c r="C3" s="113" t="s">
        <v>35</v>
      </c>
      <c r="D3" s="113" t="s">
        <v>36</v>
      </c>
      <c r="E3" s="113" t="s">
        <v>37</v>
      </c>
      <c r="F3" s="113" t="s">
        <v>38</v>
      </c>
      <c r="G3" s="113" t="s">
        <v>142</v>
      </c>
      <c r="H3" s="113" t="s">
        <v>143</v>
      </c>
      <c r="I3" s="113" t="s">
        <v>144</v>
      </c>
      <c r="J3" s="113" t="s">
        <v>145</v>
      </c>
      <c r="K3" s="117" t="s">
        <v>146</v>
      </c>
    </row>
    <row r="5" spans="1:11" x14ac:dyDescent="0.3">
      <c r="A5" s="71" t="s">
        <v>14</v>
      </c>
      <c r="B5" s="119"/>
      <c r="C5" s="119"/>
      <c r="D5" s="119"/>
      <c r="E5" s="119"/>
      <c r="F5" s="119"/>
      <c r="G5" s="119"/>
      <c r="H5" s="105"/>
      <c r="I5" s="105"/>
      <c r="J5" s="105"/>
      <c r="K5" s="106"/>
    </row>
    <row r="6" spans="1:11" x14ac:dyDescent="0.3">
      <c r="A6" s="109" t="s">
        <v>71</v>
      </c>
      <c r="B6" s="118">
        <f>'Cash_Flow (FCFF)'!B10</f>
        <v>10833.391</v>
      </c>
      <c r="C6" s="118">
        <f>'Cash_Flow (FCFF)'!C10</f>
        <v>11238.249185833887</v>
      </c>
      <c r="D6" s="118">
        <f>'Cash_Flow (FCFF)'!D10</f>
        <v>11586.299460673468</v>
      </c>
      <c r="E6" s="118">
        <f>'Cash_Flow (FCFF)'!E10</f>
        <v>11971.814985756795</v>
      </c>
      <c r="F6" s="118">
        <f>'Cash_Flow (FCFF)'!F10</f>
        <v>12397.133062959114</v>
      </c>
      <c r="G6" s="118">
        <f>'Cash_Flow (FCFF)'!G10</f>
        <v>12864.963008194489</v>
      </c>
      <c r="H6" s="118">
        <f>'Cash_Flow (FCFF)'!H10</f>
        <v>13378.411642975723</v>
      </c>
      <c r="I6" s="118">
        <f>'Cash_Flow (FCFF)'!I10</f>
        <v>13988.584076580044</v>
      </c>
      <c r="J6" s="118">
        <f>'Cash_Flow (FCFF)'!J10</f>
        <v>14695.261661647464</v>
      </c>
      <c r="K6" s="118">
        <f>'Cash_Flow (FCFF)'!K10</f>
        <v>15510.334195281843</v>
      </c>
    </row>
    <row r="7" spans="1:11" x14ac:dyDescent="0.3">
      <c r="A7" s="6" t="s">
        <v>89</v>
      </c>
      <c r="B7" s="40">
        <f>1/(1+Sensitivity!$J$4)^(COLUMN()-COLUMN($B$7)+1)</f>
        <v>0.94366330093422657</v>
      </c>
      <c r="C7" s="40">
        <f>1/(1+Sensitivity!$J$4)^(COLUMN()-COLUMN($B$7)+1)</f>
        <v>0.89050042553008069</v>
      </c>
      <c r="D7" s="40">
        <f>1/(1+Sensitivity!$J$4)^(COLUMN()-COLUMN($B$7)+1)</f>
        <v>0.84033257103904935</v>
      </c>
      <c r="E7" s="40">
        <f>1/(1+Sensitivity!$J$4)^(COLUMN()-COLUMN($B$7)+1)</f>
        <v>0.7929910078692548</v>
      </c>
      <c r="F7" s="40">
        <f>1/(1+Sensitivity!$J$4)^(COLUMN()-COLUMN($B$7)+1)</f>
        <v>0.74831651209706029</v>
      </c>
      <c r="G7" s="40">
        <f>1/(1+Sensitivity!$J$4)^(COLUMN()-COLUMN($B$7)+1)</f>
        <v>0.70615882994909907</v>
      </c>
      <c r="H7" s="40">
        <f>1/(1+Sensitivity!$J$4)^(COLUMN()-COLUMN($B$7)+1)</f>
        <v>0.66637617245361791</v>
      </c>
      <c r="I7" s="40">
        <f>1/(1+Sensitivity!$J$4)^(COLUMN()-COLUMN($B$7)+1)</f>
        <v>0.62883473856149663</v>
      </c>
      <c r="J7" s="40">
        <f>1/(1+Sensitivity!$J$4)^(COLUMN()-COLUMN($B$7)+1)</f>
        <v>0.59340826513305323</v>
      </c>
      <c r="K7" s="40">
        <f>1/(1+Sensitivity!$J$4)^(COLUMN()-COLUMN($B$7)+1)</f>
        <v>0.5599776022771098</v>
      </c>
    </row>
    <row r="8" spans="1:11" x14ac:dyDescent="0.3">
      <c r="A8" s="6" t="s">
        <v>90</v>
      </c>
      <c r="B8" s="21">
        <f>B6*B7</f>
        <v>10223.073511371142</v>
      </c>
      <c r="C8" s="21">
        <f t="shared" ref="C8:F8" si="0">C6*C7</f>
        <v>10007.66568219816</v>
      </c>
      <c r="D8" s="21">
        <f t="shared" si="0"/>
        <v>9736.3448146160863</v>
      </c>
      <c r="E8" s="21">
        <f t="shared" si="0"/>
        <v>9493.5416315795301</v>
      </c>
      <c r="F8" s="21">
        <f t="shared" si="0"/>
        <v>9276.9793736767097</v>
      </c>
      <c r="G8" s="21">
        <f t="shared" ref="G8" si="1">G6*G7</f>
        <v>9084.7072252050621</v>
      </c>
      <c r="H8" s="21">
        <f t="shared" ref="H8" si="2">H6*H7</f>
        <v>8915.0547441550807</v>
      </c>
      <c r="I8" s="21">
        <f t="shared" ref="I8" si="3">I6*I7</f>
        <v>8796.5076106417273</v>
      </c>
      <c r="J8" s="21">
        <f t="shared" ref="J8" si="4">J6*J7</f>
        <v>8720.2897283144903</v>
      </c>
      <c r="K8" s="21">
        <f t="shared" ref="K8" si="5">K6*K7</f>
        <v>8685.4397531905925</v>
      </c>
    </row>
    <row r="10" spans="1:11" x14ac:dyDescent="0.3">
      <c r="A10" s="18" t="s">
        <v>15</v>
      </c>
      <c r="B10" s="119"/>
      <c r="C10" s="119"/>
      <c r="D10" s="119"/>
      <c r="E10" s="119"/>
      <c r="F10" s="119"/>
      <c r="G10" s="119"/>
      <c r="H10" s="105"/>
      <c r="I10" s="105"/>
      <c r="J10" s="105"/>
      <c r="K10" s="106"/>
    </row>
    <row r="11" spans="1:11" x14ac:dyDescent="0.3">
      <c r="A11" s="6" t="s">
        <v>71</v>
      </c>
      <c r="B11" s="19">
        <f>'Cash_Flow (FCFF)'!B18</f>
        <v>18676.210569999999</v>
      </c>
      <c r="C11" s="19">
        <f>'Cash_Flow (FCFF)'!C18</f>
        <v>18392.388473092909</v>
      </c>
      <c r="D11" s="19">
        <f>'Cash_Flow (FCFF)'!D18</f>
        <v>20225.559921879358</v>
      </c>
      <c r="E11" s="19">
        <f>'Cash_Flow (FCFF)'!E18</f>
        <v>22282.265646421558</v>
      </c>
      <c r="F11" s="19">
        <f>'Cash_Flow (FCFF)'!F18</f>
        <v>24593.039858220051</v>
      </c>
      <c r="G11" s="19">
        <f>'Cash_Flow (FCFF)'!G18</f>
        <v>27192.986715727126</v>
      </c>
      <c r="H11" s="19">
        <f>'Cash_Flow (FCFF)'!H18</f>
        <v>30122.516715981783</v>
      </c>
      <c r="I11" s="19">
        <f>'Cash_Flow (FCFF)'!I18</f>
        <v>33414.396670630857</v>
      </c>
      <c r="J11" s="19">
        <f>'Cash_Flow (FCFF)'!J18</f>
        <v>37004.005093530097</v>
      </c>
      <c r="K11" s="19">
        <f>'Cash_Flow (FCFF)'!K18</f>
        <v>40909.17094484179</v>
      </c>
    </row>
    <row r="12" spans="1:11" x14ac:dyDescent="0.3">
      <c r="A12" s="6" t="s">
        <v>89</v>
      </c>
      <c r="B12" s="40">
        <f>1/(1+Sensitivity!$K$4)^(COLUMN()-COLUMN($B$12)+1)</f>
        <v>0.94401963560842073</v>
      </c>
      <c r="C12" s="40">
        <f>1/(1+Sensitivity!$K$4)^(COLUMN()-COLUMN($B$12)+1)</f>
        <v>0.89117307241425547</v>
      </c>
      <c r="D12" s="40">
        <f>1/(1+Sensitivity!$K$4)^(COLUMN()-COLUMN($B$12)+1)</f>
        <v>0.84128487908454219</v>
      </c>
      <c r="E12" s="40">
        <f>1/(1+Sensitivity!$K$4)^(COLUMN()-COLUMN($B$12)+1)</f>
        <v>0.79418944499626376</v>
      </c>
      <c r="F12" s="40">
        <f>1/(1+Sensitivity!$K$4)^(COLUMN()-COLUMN($B$12)+1)</f>
        <v>0.74973043046942689</v>
      </c>
      <c r="G12" s="40">
        <f>1/(1+Sensitivity!$K$4)^(COLUMN()-COLUMN($B$12)+1)</f>
        <v>0.70776024777629276</v>
      </c>
      <c r="H12" s="40">
        <f>1/(1+Sensitivity!$K$4)^(COLUMN()-COLUMN($B$12)+1)</f>
        <v>0.66813957120390144</v>
      </c>
      <c r="I12" s="40">
        <f>1/(1+Sensitivity!$K$4)^(COLUMN()-COLUMN($B$12)+1)</f>
        <v>0.63073687454347349</v>
      </c>
      <c r="J12" s="40">
        <f>1/(1+Sensitivity!$K$4)^(COLUMN()-COLUMN($B$12)+1)</f>
        <v>0.595427994471324</v>
      </c>
      <c r="K12" s="40">
        <f>1/(1+Sensitivity!$K$4)^(COLUMN()-COLUMN($B$12)+1)</f>
        <v>0.56209571837187211</v>
      </c>
    </row>
    <row r="13" spans="1:11" x14ac:dyDescent="0.3">
      <c r="A13" s="6" t="s">
        <v>90</v>
      </c>
      <c r="B13" s="15">
        <f>B11*B12</f>
        <v>17630.709496837535</v>
      </c>
      <c r="C13" s="15">
        <f t="shared" ref="C13:F13" si="6">C11*C12</f>
        <v>16390.801344602743</v>
      </c>
      <c r="D13" s="15">
        <f t="shared" si="6"/>
        <v>17015.45773329544</v>
      </c>
      <c r="E13" s="15">
        <f t="shared" si="6"/>
        <v>17696.340186990852</v>
      </c>
      <c r="F13" s="15">
        <f t="shared" si="6"/>
        <v>18438.150359455092</v>
      </c>
      <c r="G13" s="15">
        <f t="shared" ref="G13" si="7">G11*G12</f>
        <v>19246.115015700467</v>
      </c>
      <c r="H13" s="15">
        <f t="shared" ref="H13" si="8">H11*H12</f>
        <v>20126.045402198422</v>
      </c>
      <c r="I13" s="15">
        <f t="shared" ref="I13" si="9">I11*I12</f>
        <v>21075.692120789554</v>
      </c>
      <c r="J13" s="15">
        <f t="shared" ref="J13" si="10">J11*J12</f>
        <v>22033.220540247283</v>
      </c>
      <c r="K13" s="15">
        <f t="shared" ref="K13" si="11">K11*K12</f>
        <v>22994.869830238564</v>
      </c>
    </row>
    <row r="15" spans="1:11" x14ac:dyDescent="0.3">
      <c r="B15" s="12" t="s">
        <v>14</v>
      </c>
      <c r="C15" s="12" t="s">
        <v>15</v>
      </c>
    </row>
    <row r="17" spans="1:3" x14ac:dyDescent="0.3">
      <c r="A17" s="6" t="s">
        <v>91</v>
      </c>
      <c r="B17" s="40">
        <f>Sensitivity!J5</f>
        <v>0.03</v>
      </c>
      <c r="C17" s="40">
        <f>Sensitivity!K5</f>
        <v>0.03</v>
      </c>
    </row>
    <row r="18" spans="1:3" x14ac:dyDescent="0.3">
      <c r="A18" s="6" t="s">
        <v>92</v>
      </c>
      <c r="B18" s="97">
        <f>K6*(1+B17)/(Sensitivity!J4-DCF_Valuation!B17)</f>
        <v>537900.47882627265</v>
      </c>
      <c r="C18" s="97">
        <f>K11*(1+C17)/(Sensitivity!K4-DCF_Valuation!C17)</f>
        <v>1438103.9615422199</v>
      </c>
    </row>
    <row r="19" spans="1:3" x14ac:dyDescent="0.3">
      <c r="A19" s="6" t="s">
        <v>93</v>
      </c>
      <c r="B19" s="97">
        <f>B18*K7</f>
        <v>301212.22039684543</v>
      </c>
      <c r="C19" s="97">
        <f>C18*K12</f>
        <v>808352.07935650926</v>
      </c>
    </row>
    <row r="20" spans="1:3" x14ac:dyDescent="0.3">
      <c r="A20" s="6" t="s">
        <v>90</v>
      </c>
      <c r="B20" s="97">
        <f>SUM(B8:K8)</f>
        <v>92939.604074948584</v>
      </c>
      <c r="C20" s="97">
        <f>SUM(B13:K13)</f>
        <v>192647.40203035594</v>
      </c>
    </row>
    <row r="21" spans="1:3" x14ac:dyDescent="0.3">
      <c r="A21" s="6" t="s">
        <v>94</v>
      </c>
      <c r="B21" s="97">
        <f>B19+B20</f>
        <v>394151.82447179401</v>
      </c>
      <c r="C21" s="97">
        <f>C19+C20</f>
        <v>1000999.4813868653</v>
      </c>
    </row>
    <row r="22" spans="1:3" x14ac:dyDescent="0.3">
      <c r="A22" s="6" t="s">
        <v>95</v>
      </c>
      <c r="B22" s="97">
        <f>WACC!B14</f>
        <v>1648</v>
      </c>
      <c r="C22" s="97">
        <f>WACC!C14</f>
        <v>156.75</v>
      </c>
    </row>
    <row r="23" spans="1:3" x14ac:dyDescent="0.3">
      <c r="A23" s="6" t="s">
        <v>96</v>
      </c>
      <c r="B23" s="97">
        <f>B21-B22</f>
        <v>392503.82447179401</v>
      </c>
      <c r="C23" s="97">
        <f>C21-C22</f>
        <v>1000842.7313868653</v>
      </c>
    </row>
    <row r="24" spans="1:3" x14ac:dyDescent="0.3">
      <c r="A24" s="6" t="s">
        <v>97</v>
      </c>
      <c r="B24" s="97" cm="1">
        <f t="array" aca="1" ref="B24" ca="1">_FV(Control!B3,"Shares outstanding",TRUE)/10000000</f>
        <v>234.95910000000001</v>
      </c>
      <c r="C24" s="97" cm="1">
        <f t="array" aca="1" ref="C24" ca="1">_FV(Control!B4,"Shares outstanding",TRUE)/10000000</f>
        <v>1252.896</v>
      </c>
    </row>
    <row r="25" spans="1:3" x14ac:dyDescent="0.3">
      <c r="A25" s="6" t="s">
        <v>98</v>
      </c>
      <c r="B25" s="97">
        <f ca="1">B23/B24</f>
        <v>1670.5197818334937</v>
      </c>
      <c r="C25" s="97">
        <f ca="1">C23/C24</f>
        <v>798.82347089212931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B28C-9B8B-45CD-9DF2-7ABF1E3C2CA4}">
  <dimension ref="A1:K18"/>
  <sheetViews>
    <sheetView showGridLines="0" workbookViewId="0">
      <selection activeCell="I10" sqref="I10"/>
    </sheetView>
  </sheetViews>
  <sheetFormatPr defaultRowHeight="14.4" x14ac:dyDescent="0.3"/>
  <cols>
    <col min="1" max="1" width="11.33203125" style="1" bestFit="1" customWidth="1"/>
    <col min="2" max="8" width="8.88671875" style="1"/>
    <col min="9" max="9" width="9.44140625" style="1" bestFit="1" customWidth="1"/>
    <col min="10" max="16384" width="8.88671875" style="1"/>
  </cols>
  <sheetData>
    <row r="1" spans="1:11" ht="23.4" x14ac:dyDescent="0.3">
      <c r="A1" s="155" t="s">
        <v>99</v>
      </c>
      <c r="B1" s="155"/>
      <c r="C1" s="155"/>
      <c r="D1" s="155"/>
      <c r="E1" s="155"/>
      <c r="F1" s="155"/>
      <c r="G1" s="155"/>
    </row>
    <row r="3" spans="1:11" ht="21" x14ac:dyDescent="0.3">
      <c r="A3" s="156">
        <f ca="1">DCF_Valuation!B25</f>
        <v>1670.5197818334937</v>
      </c>
      <c r="B3" s="41">
        <v>6.5000000000000002E-2</v>
      </c>
      <c r="C3" s="42">
        <v>7.0000000000000007E-2</v>
      </c>
      <c r="D3" s="42">
        <v>7.4999999999999997E-2</v>
      </c>
      <c r="E3" s="42">
        <v>0.08</v>
      </c>
      <c r="F3" s="43">
        <v>8.5000000000000006E-2</v>
      </c>
      <c r="I3" s="59"/>
      <c r="J3" s="55" t="s">
        <v>14</v>
      </c>
      <c r="K3" s="56" t="s">
        <v>15</v>
      </c>
    </row>
    <row r="4" spans="1:11" x14ac:dyDescent="0.3">
      <c r="A4" s="44">
        <v>0.03</v>
      </c>
      <c r="B4" s="47">
        <f t="dataTable" ref="B4:F8" dt2D="1" dtr="1" r1="J4" r2="J5"/>
        <v>1413.089300054196</v>
      </c>
      <c r="C4" s="48">
        <v>1232.8789934004333</v>
      </c>
      <c r="D4" s="48">
        <v>1092.8080371655506</v>
      </c>
      <c r="E4" s="48">
        <v>980.83090996981446</v>
      </c>
      <c r="F4" s="49">
        <v>889.28244835557371</v>
      </c>
      <c r="I4" s="57" t="s">
        <v>87</v>
      </c>
      <c r="J4" s="64">
        <f>CHOOSE(MATCH(Control!B14,{"Base","Mild","Severe","Upside"},0),Stress_Helper!F13,Stress_Helper!F14,Stress_Helper!F15,Stress_Helper!F16)</f>
        <v>5.9700000000000003E-2</v>
      </c>
      <c r="K4" s="64">
        <f>CHOOSE(MATCH(Control!B14,{"Base","Mild","Severe","Upside"},0),Stress_Helper!F21,Stress_Helper!F22,Stress_Helper!F23,Stress_Helper!F24)</f>
        <v>5.9299999999999999E-2</v>
      </c>
    </row>
    <row r="5" spans="1:11" x14ac:dyDescent="0.3">
      <c r="A5" s="45">
        <v>3.5000000000000003E-2</v>
      </c>
      <c r="B5" s="50">
        <v>1591.4351963725096</v>
      </c>
      <c r="C5" s="28">
        <v>1361.1170284999546</v>
      </c>
      <c r="D5" s="28">
        <v>1188.450380116446</v>
      </c>
      <c r="E5" s="28">
        <v>1054.2151113625341</v>
      </c>
      <c r="F5" s="51">
        <v>946.87927449300832</v>
      </c>
      <c r="I5" s="58" t="s">
        <v>100</v>
      </c>
      <c r="J5" s="65">
        <f>CHOOSE(MATCH(Control!B14,{"Base","Mild","Severe","Upside"},0),Stress_Helper!G13,Stress_Helper!G14,Stress_Helper!G15,Stress_Helper!G16)</f>
        <v>0.03</v>
      </c>
      <c r="K5" s="65">
        <f>CHOOSE(MATCH(Control!B14,{"Base","Mild","Severe","Upside"},0),Stress_Helper!G21,Stress_Helper!G22,Stress_Helper!G23,Stress_Helper!G24)</f>
        <v>0.03</v>
      </c>
    </row>
    <row r="6" spans="1:11" x14ac:dyDescent="0.3">
      <c r="A6" s="45">
        <v>0.04</v>
      </c>
      <c r="B6" s="50">
        <v>1841.1194512181487</v>
      </c>
      <c r="C6" s="28">
        <v>1532.1010752993163</v>
      </c>
      <c r="D6" s="28">
        <v>1311.4191067675972</v>
      </c>
      <c r="E6" s="28">
        <v>1145.9453631034339</v>
      </c>
      <c r="F6" s="51">
        <v>1017.2753953276509</v>
      </c>
    </row>
    <row r="7" spans="1:11" x14ac:dyDescent="0.3">
      <c r="A7" s="45">
        <v>4.4999999999999998E-2</v>
      </c>
      <c r="B7" s="50">
        <v>2215.6458334866074</v>
      </c>
      <c r="C7" s="28">
        <v>1771.4787408184227</v>
      </c>
      <c r="D7" s="28">
        <v>1475.3774089691317</v>
      </c>
      <c r="E7" s="28">
        <v>1263.8842581988765</v>
      </c>
      <c r="F7" s="51">
        <v>1105.270546370954</v>
      </c>
    </row>
    <row r="8" spans="1:11" x14ac:dyDescent="0.3">
      <c r="A8" s="46">
        <v>0.05</v>
      </c>
      <c r="B8" s="52">
        <v>2839.8564706007064</v>
      </c>
      <c r="C8" s="53">
        <v>2130.5452390970822</v>
      </c>
      <c r="D8" s="53">
        <v>1704.9190320512805</v>
      </c>
      <c r="E8" s="53">
        <v>1421.1361183261338</v>
      </c>
      <c r="F8" s="54">
        <v>1218.4071691409151</v>
      </c>
    </row>
    <row r="11" spans="1:11" x14ac:dyDescent="0.3">
      <c r="A11" s="120" t="s">
        <v>101</v>
      </c>
      <c r="B11" s="120"/>
      <c r="C11" s="120"/>
      <c r="D11" s="120"/>
      <c r="E11" s="120"/>
      <c r="F11" s="120"/>
    </row>
    <row r="13" spans="1:11" ht="21" x14ac:dyDescent="0.3">
      <c r="A13" s="156">
        <f ca="1">DCF_Valuation!C25</f>
        <v>798.82347089212931</v>
      </c>
      <c r="B13" s="41">
        <v>6.5000000000000002E-2</v>
      </c>
      <c r="C13" s="42">
        <v>7.0000000000000007E-2</v>
      </c>
      <c r="D13" s="42">
        <v>7.4999999999999997E-2</v>
      </c>
      <c r="E13" s="42">
        <v>0.08</v>
      </c>
      <c r="F13" s="43">
        <v>8.5000000000000006E-2</v>
      </c>
    </row>
    <row r="14" spans="1:11" x14ac:dyDescent="0.3">
      <c r="A14" s="44">
        <v>0.03</v>
      </c>
      <c r="B14" s="47">
        <f t="dataTable" ref="B14:F18" dt2D="1" dtr="1" r1="K4" r2="K5"/>
        <v>660.8335743216029</v>
      </c>
      <c r="C14" s="48">
        <v>572.39921429768083</v>
      </c>
      <c r="D14" s="48">
        <v>503.79973802527098</v>
      </c>
      <c r="E14" s="48">
        <v>449.07778916766875</v>
      </c>
      <c r="F14" s="49">
        <v>404.44262144578039</v>
      </c>
    </row>
    <row r="15" spans="1:11" x14ac:dyDescent="0.3">
      <c r="A15" s="45">
        <v>3.5000000000000003E-2</v>
      </c>
      <c r="B15" s="50">
        <v>749.04805684992584</v>
      </c>
      <c r="C15" s="28">
        <v>635.82905563567601</v>
      </c>
      <c r="D15" s="28">
        <v>551.10690889592058</v>
      </c>
      <c r="E15" s="28">
        <v>485.37550885312186</v>
      </c>
      <c r="F15" s="51">
        <v>432.93149793733249</v>
      </c>
    </row>
    <row r="16" spans="1:11" x14ac:dyDescent="0.3">
      <c r="A16" s="45">
        <v>0.04</v>
      </c>
      <c r="B16" s="50">
        <v>872.54833238957804</v>
      </c>
      <c r="C16" s="28">
        <v>720.40217741966967</v>
      </c>
      <c r="D16" s="28">
        <v>611.93041430104154</v>
      </c>
      <c r="E16" s="28">
        <v>530.74765845993807</v>
      </c>
      <c r="F16" s="51">
        <v>467.75123587145168</v>
      </c>
    </row>
    <row r="17" spans="1:6" x14ac:dyDescent="0.3">
      <c r="A17" s="45">
        <v>4.4999999999999998E-2</v>
      </c>
      <c r="B17" s="50">
        <v>1057.7987456990561</v>
      </c>
      <c r="C17" s="28">
        <v>838.80454791726061</v>
      </c>
      <c r="D17" s="28">
        <v>693.02842150786933</v>
      </c>
      <c r="E17" s="28">
        <v>589.0832793829876</v>
      </c>
      <c r="F17" s="51">
        <v>511.27590828910076</v>
      </c>
    </row>
    <row r="18" spans="1:6" x14ac:dyDescent="0.3">
      <c r="A18" s="46">
        <v>0.05</v>
      </c>
      <c r="B18" s="52">
        <v>1366.5494345481864</v>
      </c>
      <c r="C18" s="53">
        <v>1016.4081036636474</v>
      </c>
      <c r="D18" s="53">
        <v>806.56563159742836</v>
      </c>
      <c r="E18" s="53">
        <v>666.86410728038697</v>
      </c>
      <c r="F18" s="54">
        <v>567.23620139750653</v>
      </c>
    </row>
  </sheetData>
  <mergeCells count="2">
    <mergeCell ref="A11:F11"/>
    <mergeCell ref="A1:G1"/>
  </mergeCells>
  <conditionalFormatting sqref="B4:F8">
    <cfRule type="colorScale" priority="2">
      <colorScale>
        <cfvo type="min"/>
        <cfvo type="percentile" val="50"/>
        <cfvo type="max"/>
        <color rgb="FFF8696B"/>
        <color rgb="FFFFEB84"/>
        <color rgb="FF63BE7B"/>
      </colorScale>
    </cfRule>
  </conditionalFormatting>
  <conditionalFormatting sqref="B14:F1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D7F9C-B16D-49D6-A118-3C85827CAB8E}">
  <dimension ref="A1:J24"/>
  <sheetViews>
    <sheetView workbookViewId="0">
      <selection activeCell="M14" sqref="M14"/>
    </sheetView>
  </sheetViews>
  <sheetFormatPr defaultRowHeight="14.4" x14ac:dyDescent="0.3"/>
  <cols>
    <col min="1" max="1" width="13.109375" style="1" customWidth="1"/>
    <col min="2" max="3" width="8.88671875" style="1" bestFit="1" customWidth="1"/>
    <col min="4" max="4" width="8" style="1" bestFit="1" customWidth="1"/>
    <col min="5" max="5" width="8.109375" style="1" bestFit="1" customWidth="1"/>
    <col min="6" max="6" width="6.21875" style="1" bestFit="1" customWidth="1"/>
    <col min="7" max="7" width="7.21875" style="1" bestFit="1" customWidth="1"/>
    <col min="8" max="8" width="12.88671875" style="1" bestFit="1" customWidth="1"/>
    <col min="9" max="16384" width="8.88671875" style="1"/>
  </cols>
  <sheetData>
    <row r="1" spans="1:10" x14ac:dyDescent="0.3">
      <c r="A1" s="120" t="s">
        <v>102</v>
      </c>
      <c r="B1" s="120"/>
      <c r="C1" s="120"/>
      <c r="D1" s="120"/>
      <c r="E1" s="120"/>
    </row>
    <row r="3" spans="1:10" x14ac:dyDescent="0.3">
      <c r="A3" s="13" t="s">
        <v>8</v>
      </c>
      <c r="B3" s="12" t="s">
        <v>14</v>
      </c>
      <c r="C3" s="12" t="s">
        <v>15</v>
      </c>
      <c r="I3" s="12"/>
      <c r="J3" s="12"/>
    </row>
    <row r="4" spans="1:10" x14ac:dyDescent="0.3">
      <c r="I4" s="62"/>
      <c r="J4" s="62"/>
    </row>
    <row r="5" spans="1:10" x14ac:dyDescent="0.3">
      <c r="A5" s="1" t="s">
        <v>12</v>
      </c>
      <c r="B5" s="37">
        <v>1670.5197818334937</v>
      </c>
      <c r="C5" s="37">
        <v>798.82347089212931</v>
      </c>
      <c r="I5" s="62"/>
      <c r="J5" s="62"/>
    </row>
    <row r="6" spans="1:10" x14ac:dyDescent="0.3">
      <c r="A6" s="1" t="s">
        <v>109</v>
      </c>
      <c r="B6" s="37">
        <v>1221.7120844405044</v>
      </c>
      <c r="C6" s="37">
        <v>442.1359302427548</v>
      </c>
      <c r="I6" s="62"/>
      <c r="J6" s="62"/>
    </row>
    <row r="7" spans="1:10" x14ac:dyDescent="0.3">
      <c r="A7" s="1" t="s">
        <v>110</v>
      </c>
      <c r="B7" s="37">
        <v>839.07411592207404</v>
      </c>
      <c r="C7" s="37">
        <v>319.05287393145358</v>
      </c>
      <c r="I7" s="35"/>
      <c r="J7" s="35"/>
    </row>
    <row r="8" spans="1:10" x14ac:dyDescent="0.3">
      <c r="A8" s="1" t="s">
        <v>103</v>
      </c>
      <c r="B8" s="37">
        <v>3389.7438873960064</v>
      </c>
      <c r="C8" s="37">
        <v>1204.3024856599934</v>
      </c>
      <c r="I8" s="36"/>
      <c r="J8" s="36"/>
    </row>
    <row r="9" spans="1:10" x14ac:dyDescent="0.3">
      <c r="I9" s="62"/>
      <c r="J9" s="62"/>
    </row>
    <row r="10" spans="1:10" x14ac:dyDescent="0.3">
      <c r="I10" s="62"/>
      <c r="J10" s="62"/>
    </row>
    <row r="11" spans="1:10" x14ac:dyDescent="0.3">
      <c r="A11" s="157" t="s">
        <v>148</v>
      </c>
      <c r="B11" s="158"/>
      <c r="C11" s="158"/>
      <c r="D11" s="158"/>
      <c r="E11" s="158"/>
      <c r="F11" s="158"/>
      <c r="G11" s="158"/>
      <c r="H11" s="159"/>
      <c r="I11" s="62"/>
      <c r="J11" s="62"/>
    </row>
    <row r="12" spans="1:10" x14ac:dyDescent="0.3">
      <c r="A12" s="144" t="s">
        <v>8</v>
      </c>
      <c r="B12" s="142" t="s">
        <v>105</v>
      </c>
      <c r="C12" s="142" t="s">
        <v>106</v>
      </c>
      <c r="D12" s="142" t="s">
        <v>107</v>
      </c>
      <c r="E12" s="142" t="s">
        <v>108</v>
      </c>
      <c r="F12" s="142" t="s">
        <v>87</v>
      </c>
      <c r="G12" s="142" t="s">
        <v>111</v>
      </c>
      <c r="H12" s="164" t="s">
        <v>147</v>
      </c>
    </row>
    <row r="13" spans="1:10" x14ac:dyDescent="0.3">
      <c r="A13" s="109" t="s">
        <v>12</v>
      </c>
      <c r="B13" s="160">
        <v>2.256392783850247E-2</v>
      </c>
      <c r="C13" s="160">
        <v>0.22600000000000001</v>
      </c>
      <c r="D13" s="161">
        <v>1.9551591880008733E-2</v>
      </c>
      <c r="E13" s="162">
        <v>50.55356304467486</v>
      </c>
      <c r="F13" s="163">
        <v>5.9700000000000003E-2</v>
      </c>
      <c r="G13" s="161">
        <v>0.03</v>
      </c>
      <c r="H13" s="111">
        <v>1670.5197818334937</v>
      </c>
    </row>
    <row r="14" spans="1:10" x14ac:dyDescent="0.3">
      <c r="A14" s="6" t="s">
        <v>109</v>
      </c>
      <c r="B14" s="63">
        <f>B13-0.005</f>
        <v>1.7563927838502469E-2</v>
      </c>
      <c r="C14" s="63">
        <f>C13-0.01</f>
        <v>0.216</v>
      </c>
      <c r="D14" s="17">
        <f>D13+0.005</f>
        <v>2.4551591880008734E-2</v>
      </c>
      <c r="E14" s="61">
        <f>E13+4.45</f>
        <v>55.003563044674863</v>
      </c>
      <c r="F14" s="60">
        <f>F13+0.5%</f>
        <v>6.4700000000000008E-2</v>
      </c>
      <c r="G14" s="17">
        <f>G13-0.5%</f>
        <v>2.4999999999999998E-2</v>
      </c>
      <c r="H14" s="15">
        <v>1221.7120844405044</v>
      </c>
    </row>
    <row r="15" spans="1:10" x14ac:dyDescent="0.3">
      <c r="A15" s="6" t="s">
        <v>110</v>
      </c>
      <c r="B15" s="17">
        <f>B13-0.01</f>
        <v>1.256392783850247E-2</v>
      </c>
      <c r="C15" s="63">
        <f>C13-0.03</f>
        <v>0.19600000000000001</v>
      </c>
      <c r="D15" s="17">
        <f>D13+0.01</f>
        <v>2.9551591880008735E-2</v>
      </c>
      <c r="E15" s="61">
        <f>E13+9.45</f>
        <v>60.003563044674863</v>
      </c>
      <c r="F15" s="60">
        <f>F13+1%</f>
        <v>6.9699999999999998E-2</v>
      </c>
      <c r="G15" s="17">
        <f>G13-1%</f>
        <v>1.9999999999999997E-2</v>
      </c>
      <c r="H15" s="15">
        <v>839.07411592207404</v>
      </c>
    </row>
    <row r="16" spans="1:10" x14ac:dyDescent="0.3">
      <c r="A16" s="6" t="s">
        <v>103</v>
      </c>
      <c r="B16" s="63">
        <f>B13+0.005</f>
        <v>2.7563927838502471E-2</v>
      </c>
      <c r="C16" s="63">
        <f>C13+0.02</f>
        <v>0.246</v>
      </c>
      <c r="D16" s="17">
        <f>D13-0.3%</f>
        <v>1.6551591880008733E-2</v>
      </c>
      <c r="E16" s="61">
        <f>E13-5</f>
        <v>45.55356304467486</v>
      </c>
      <c r="F16" s="60">
        <f>F13-0.5%</f>
        <v>5.4700000000000006E-2</v>
      </c>
      <c r="G16" s="17">
        <v>0.04</v>
      </c>
      <c r="H16" s="15">
        <v>3389.7438873960064</v>
      </c>
    </row>
    <row r="17" spans="1:8" x14ac:dyDescent="0.3">
      <c r="B17" s="36"/>
      <c r="C17" s="36"/>
      <c r="D17" s="8"/>
      <c r="E17" s="8"/>
      <c r="F17" s="8"/>
      <c r="G17" s="8"/>
    </row>
    <row r="18" spans="1:8" x14ac:dyDescent="0.3">
      <c r="B18" s="36"/>
      <c r="C18" s="36"/>
      <c r="D18" s="8"/>
      <c r="E18" s="8"/>
      <c r="F18" s="8"/>
      <c r="G18" s="8"/>
    </row>
    <row r="19" spans="1:8" x14ac:dyDescent="0.3">
      <c r="A19" s="157" t="s">
        <v>149</v>
      </c>
      <c r="B19" s="165"/>
      <c r="C19" s="165"/>
      <c r="D19" s="166"/>
      <c r="E19" s="166"/>
      <c r="F19" s="166"/>
      <c r="G19" s="166"/>
      <c r="H19" s="159"/>
    </row>
    <row r="20" spans="1:8" x14ac:dyDescent="0.3">
      <c r="A20" s="144" t="s">
        <v>8</v>
      </c>
      <c r="B20" s="142" t="s">
        <v>105</v>
      </c>
      <c r="C20" s="142" t="s">
        <v>106</v>
      </c>
      <c r="D20" s="142" t="s">
        <v>107</v>
      </c>
      <c r="E20" s="142" t="s">
        <v>108</v>
      </c>
      <c r="F20" s="142" t="s">
        <v>87</v>
      </c>
      <c r="G20" s="142" t="s">
        <v>111</v>
      </c>
      <c r="H20" s="164" t="s">
        <v>147</v>
      </c>
    </row>
    <row r="21" spans="1:8" x14ac:dyDescent="0.3">
      <c r="A21" s="109" t="s">
        <v>12</v>
      </c>
      <c r="B21" s="160">
        <v>9.2556862067333032E-2</v>
      </c>
      <c r="C21" s="160">
        <v>0.308</v>
      </c>
      <c r="D21" s="161">
        <v>2.7081448880690095E-2</v>
      </c>
      <c r="E21" s="162">
        <v>174.51471659171517</v>
      </c>
      <c r="F21" s="161">
        <v>5.9299999999999999E-2</v>
      </c>
      <c r="G21" s="161">
        <v>0.03</v>
      </c>
      <c r="H21" s="15">
        <v>798.82347089212931</v>
      </c>
    </row>
    <row r="22" spans="1:8" x14ac:dyDescent="0.3">
      <c r="A22" s="6" t="s">
        <v>109</v>
      </c>
      <c r="B22" s="17">
        <v>7.2556862067333028E-2</v>
      </c>
      <c r="C22" s="17">
        <v>0.29799999999999999</v>
      </c>
      <c r="D22" s="17">
        <v>3.2081448880690096E-2</v>
      </c>
      <c r="E22" s="61">
        <v>184.51471659171517</v>
      </c>
      <c r="F22" s="17">
        <v>6.4299999999999996E-2</v>
      </c>
      <c r="G22" s="17">
        <v>2.5000000000000001E-2</v>
      </c>
      <c r="H22" s="15">
        <v>442.1359302427548</v>
      </c>
    </row>
    <row r="23" spans="1:8" x14ac:dyDescent="0.3">
      <c r="A23" s="6" t="s">
        <v>110</v>
      </c>
      <c r="B23" s="17">
        <v>4.9956862067333033E-2</v>
      </c>
      <c r="C23" s="17">
        <v>0.27800000000000002</v>
      </c>
      <c r="D23" s="17">
        <v>3.7081448880690093E-2</v>
      </c>
      <c r="E23" s="61">
        <v>194.51471659171517</v>
      </c>
      <c r="F23" s="17">
        <v>6.93E-2</v>
      </c>
      <c r="G23" s="17">
        <v>0.02</v>
      </c>
      <c r="H23" s="15">
        <v>319.05287393145358</v>
      </c>
    </row>
    <row r="24" spans="1:8" x14ac:dyDescent="0.3">
      <c r="A24" s="6" t="s">
        <v>103</v>
      </c>
      <c r="B24" s="17">
        <v>0.11255686206733304</v>
      </c>
      <c r="C24" s="17">
        <v>0.32800000000000001</v>
      </c>
      <c r="D24" s="17">
        <v>2.4081448880690096E-2</v>
      </c>
      <c r="E24" s="61">
        <v>164.51471659171517</v>
      </c>
      <c r="F24" s="17">
        <v>5.4300000000000001E-2</v>
      </c>
      <c r="G24" s="17">
        <v>0.04</v>
      </c>
      <c r="H24" s="15">
        <v>1204.3024856599934</v>
      </c>
    </row>
  </sheetData>
  <mergeCells count="1">
    <mergeCell ref="A1:E1"/>
  </mergeCells>
  <conditionalFormatting sqref="H13:H16">
    <cfRule type="colorScale" priority="2">
      <colorScale>
        <cfvo type="min"/>
        <cfvo type="percentile" val="50"/>
        <cfvo type="max"/>
        <color rgb="FFF8696B"/>
        <color rgb="FFFFEB84"/>
        <color rgb="FF63BE7B"/>
      </colorScale>
    </cfRule>
  </conditionalFormatting>
  <conditionalFormatting sqref="H21:H2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F5D6C-127F-401E-9303-8A9A25BAAC1E}">
  <dimension ref="A1:K38"/>
  <sheetViews>
    <sheetView showGridLines="0" zoomScale="90" zoomScaleNormal="90" workbookViewId="0">
      <selection activeCell="N14" sqref="N14"/>
    </sheetView>
  </sheetViews>
  <sheetFormatPr defaultRowHeight="14.4" x14ac:dyDescent="0.3"/>
  <cols>
    <col min="1" max="1" width="21.6640625" style="3" customWidth="1"/>
    <col min="2" max="2" width="10.6640625" style="1" customWidth="1"/>
    <col min="3" max="7" width="10.88671875" style="1" bestFit="1" customWidth="1"/>
    <col min="8" max="8" width="19.21875" style="1" bestFit="1" customWidth="1"/>
    <col min="9" max="9" width="12" style="1" bestFit="1" customWidth="1"/>
    <col min="10" max="10" width="13.5546875" style="1" bestFit="1" customWidth="1"/>
    <col min="11" max="16384" width="8.88671875" style="1"/>
  </cols>
  <sheetData>
    <row r="1" spans="1:11" ht="30.6" x14ac:dyDescent="0.3">
      <c r="A1" s="128" t="s">
        <v>112</v>
      </c>
      <c r="B1" s="128"/>
      <c r="C1" s="128"/>
      <c r="D1" s="128"/>
      <c r="E1" s="128"/>
      <c r="F1" s="128"/>
      <c r="G1" s="128"/>
      <c r="I1" s="154" t="s">
        <v>8</v>
      </c>
      <c r="J1" s="96" t="str">
        <f>Control!B14</f>
        <v>Base</v>
      </c>
      <c r="K1" s="66"/>
    </row>
    <row r="2" spans="1:11" ht="23.4" x14ac:dyDescent="0.3">
      <c r="A2" s="124" t="e" vm="4">
        <v>#VALUE!</v>
      </c>
      <c r="B2" s="125"/>
      <c r="C2" s="126"/>
      <c r="D2" s="67"/>
      <c r="E2" s="67"/>
      <c r="F2" s="67"/>
      <c r="G2" s="67"/>
      <c r="I2" s="68"/>
      <c r="J2" s="72"/>
      <c r="K2" s="66"/>
    </row>
    <row r="3" spans="1:11" x14ac:dyDescent="0.3">
      <c r="A3" s="1"/>
    </row>
    <row r="4" spans="1:11" x14ac:dyDescent="0.3">
      <c r="A4" s="81" t="s">
        <v>115</v>
      </c>
      <c r="B4" s="82" t="s">
        <v>14</v>
      </c>
      <c r="C4" s="85" t="s">
        <v>15</v>
      </c>
      <c r="H4" s="83" t="s">
        <v>119</v>
      </c>
      <c r="I4" s="84" t="s">
        <v>14</v>
      </c>
      <c r="J4" s="85" t="s">
        <v>15</v>
      </c>
    </row>
    <row r="5" spans="1:11" x14ac:dyDescent="0.3">
      <c r="A5" s="69" t="s">
        <v>73</v>
      </c>
      <c r="B5" s="88">
        <f>ROCE_Analysis!C8</f>
        <v>0.42745687012329242</v>
      </c>
      <c r="C5" s="150">
        <f>ROCE_Analysis!C16</f>
        <v>0.71438845898430292</v>
      </c>
      <c r="D5" s="120"/>
      <c r="E5" s="120"/>
      <c r="H5" s="86" t="s">
        <v>94</v>
      </c>
      <c r="I5" s="91">
        <f>DCF_Valuation!B21</f>
        <v>394151.82447179401</v>
      </c>
      <c r="J5" s="87">
        <f>DCF_Valuation!C21</f>
        <v>1000999.4813868653</v>
      </c>
    </row>
    <row r="6" spans="1:11" x14ac:dyDescent="0.3">
      <c r="A6" s="69" t="s">
        <v>104</v>
      </c>
      <c r="B6" s="89">
        <f>Operating_Margins!C9</f>
        <v>0.22600000000000001</v>
      </c>
      <c r="C6" s="151">
        <f>Operating_Margins!C18</f>
        <v>0.308</v>
      </c>
      <c r="H6" s="69" t="s">
        <v>96</v>
      </c>
      <c r="I6" s="92">
        <f>DCF_Valuation!B23</f>
        <v>392503.82447179401</v>
      </c>
      <c r="J6" s="78">
        <f>DCF_Valuation!C23</f>
        <v>1000842.7313868653</v>
      </c>
    </row>
    <row r="7" spans="1:11" x14ac:dyDescent="0.3">
      <c r="A7" s="69" t="s">
        <v>113</v>
      </c>
      <c r="B7" s="89">
        <f>Revenue_Drivers!C7</f>
        <v>2.4563927838502468E-2</v>
      </c>
      <c r="C7" s="151">
        <f>Revenue_Drivers!C12</f>
        <v>9.4556862067333033E-2</v>
      </c>
      <c r="H7" s="69" t="s">
        <v>120</v>
      </c>
      <c r="I7" s="92">
        <f ca="1">DCF_Valuation!B25</f>
        <v>1670.5197818334937</v>
      </c>
      <c r="J7" s="78">
        <f ca="1">DCF_Valuation!C25</f>
        <v>798.82347089212931</v>
      </c>
    </row>
    <row r="8" spans="1:11" x14ac:dyDescent="0.3">
      <c r="A8" s="69" t="s">
        <v>114</v>
      </c>
      <c r="B8" s="93">
        <f>ROCE_Drivers!B7</f>
        <v>4.7876106194690271</v>
      </c>
      <c r="C8" s="152">
        <f>ROCE_Drivers!B12</f>
        <v>1.2594155844155845</v>
      </c>
      <c r="H8" s="69" t="s">
        <v>121</v>
      </c>
      <c r="I8" s="92" cm="1">
        <f t="array" aca="1" ref="I8" ca="1">_FV(Control!B3,"Price")</f>
        <v>2282.1999999999998</v>
      </c>
      <c r="J8" s="78" cm="1">
        <f t="array" aca="1" ref="J8" ca="1">_FV(Control!B4,"Price")</f>
        <v>406.6</v>
      </c>
    </row>
    <row r="9" spans="1:11" x14ac:dyDescent="0.3">
      <c r="A9" s="70" t="s">
        <v>87</v>
      </c>
      <c r="B9" s="90">
        <f>WACC!B20</f>
        <v>5.9700000000000003E-2</v>
      </c>
      <c r="C9" s="153">
        <f>WACC!C20</f>
        <v>5.9299999999999999E-2</v>
      </c>
      <c r="H9" s="70" t="s">
        <v>122</v>
      </c>
      <c r="I9" s="94">
        <f ca="1">(I7/I8)-1</f>
        <v>-0.26802217954890295</v>
      </c>
      <c r="J9" s="95">
        <f ca="1">(J7/J8)-1</f>
        <v>0.9646420828630824</v>
      </c>
    </row>
    <row r="10" spans="1:11" x14ac:dyDescent="0.3">
      <c r="A10" s="1"/>
    </row>
    <row r="11" spans="1:11" x14ac:dyDescent="0.3">
      <c r="A11" s="1"/>
    </row>
    <row r="12" spans="1:11" x14ac:dyDescent="0.3">
      <c r="A12" s="121" t="s">
        <v>116</v>
      </c>
      <c r="B12" s="122"/>
      <c r="C12" s="123"/>
    </row>
    <row r="13" spans="1:11" x14ac:dyDescent="0.3">
      <c r="A13" s="144" t="s">
        <v>117</v>
      </c>
      <c r="B13" s="142" t="s">
        <v>73</v>
      </c>
      <c r="C13" s="143" t="s">
        <v>71</v>
      </c>
    </row>
    <row r="14" spans="1:11" x14ac:dyDescent="0.3">
      <c r="A14" s="79" t="str" cm="1">
        <f t="array" ref="A14:A23">TRANSPOSE(DCF_Valuation!B3:K3)</f>
        <v>FY2026F</v>
      </c>
      <c r="B14" s="139" cm="1">
        <f t="array" ref="B14:B23">TRANSPOSE(ROCE_Analysis!C8:L8)</f>
        <v>0.42745687012329242</v>
      </c>
      <c r="C14" s="145" cm="1">
        <f t="array" ref="C14:C23">TRANSPOSE(DCF_Valuation!B6:K6)</f>
        <v>10833.391</v>
      </c>
      <c r="D14" s="73"/>
      <c r="E14" s="73"/>
      <c r="F14" s="73"/>
    </row>
    <row r="15" spans="1:11" x14ac:dyDescent="0.3">
      <c r="A15" s="79" t="str">
        <v>FY2027F</v>
      </c>
      <c r="B15" s="138">
        <v>0.4430559469362147</v>
      </c>
      <c r="C15" s="146">
        <v>11238.249185833887</v>
      </c>
      <c r="D15" s="74"/>
      <c r="E15" s="74"/>
      <c r="F15" s="74"/>
    </row>
    <row r="16" spans="1:11" x14ac:dyDescent="0.3">
      <c r="A16" s="79" t="str">
        <v>FY2028F</v>
      </c>
      <c r="B16" s="139">
        <v>0.4597796239469587</v>
      </c>
      <c r="C16" s="146">
        <v>11586.299460673468</v>
      </c>
      <c r="D16" s="75"/>
      <c r="E16" s="75"/>
      <c r="F16" s="75"/>
    </row>
    <row r="17" spans="1:6" x14ac:dyDescent="0.3">
      <c r="A17" s="79" t="str">
        <v>FY2029F</v>
      </c>
      <c r="B17" s="139">
        <v>0.47773876073311561</v>
      </c>
      <c r="C17" s="146">
        <v>11971.814985756795</v>
      </c>
    </row>
    <row r="18" spans="1:6" x14ac:dyDescent="0.3">
      <c r="A18" s="79" t="str">
        <v>FY2030F</v>
      </c>
      <c r="B18" s="139">
        <v>0.49705166781061305</v>
      </c>
      <c r="C18" s="146">
        <v>12397.133062959114</v>
      </c>
      <c r="D18" s="76"/>
      <c r="E18" s="76"/>
      <c r="F18" s="76"/>
    </row>
    <row r="19" spans="1:6" x14ac:dyDescent="0.3">
      <c r="A19" s="79" t="str">
        <v>FY2031F</v>
      </c>
      <c r="B19" s="139">
        <v>0.51784527444468165</v>
      </c>
      <c r="C19" s="147">
        <v>12864.963008194489</v>
      </c>
      <c r="D19" s="73"/>
      <c r="E19" s="73"/>
      <c r="F19" s="73"/>
    </row>
    <row r="20" spans="1:6" x14ac:dyDescent="0.3">
      <c r="A20" s="79" t="str">
        <v>FY2032F</v>
      </c>
      <c r="B20" s="138">
        <v>0.54193542414188356</v>
      </c>
      <c r="C20" s="148">
        <v>13378.411642975723</v>
      </c>
      <c r="D20" s="74"/>
      <c r="E20" s="74"/>
      <c r="F20" s="74"/>
    </row>
    <row r="21" spans="1:6" x14ac:dyDescent="0.3">
      <c r="A21" s="79" t="str">
        <v>FY2033F</v>
      </c>
      <c r="B21" s="139">
        <v>0.56965673679955742</v>
      </c>
      <c r="C21" s="146">
        <v>13988.584076580044</v>
      </c>
      <c r="D21" s="75"/>
      <c r="E21" s="75"/>
      <c r="F21" s="75"/>
    </row>
    <row r="22" spans="1:6" x14ac:dyDescent="0.3">
      <c r="A22" s="79" t="str">
        <v>FY2034F</v>
      </c>
      <c r="B22" s="139">
        <v>0.60140768846814396</v>
      </c>
      <c r="C22" s="146">
        <v>14695.261661647464</v>
      </c>
    </row>
    <row r="23" spans="1:6" x14ac:dyDescent="0.3">
      <c r="A23" s="80" t="str">
        <v>FY2035F</v>
      </c>
      <c r="B23" s="140">
        <v>0.6376592401522998</v>
      </c>
      <c r="C23" s="149">
        <v>15510.334195281843</v>
      </c>
    </row>
    <row r="25" spans="1:6" x14ac:dyDescent="0.3">
      <c r="A25" s="133" t="s">
        <v>118</v>
      </c>
      <c r="B25" s="134"/>
      <c r="C25" s="135"/>
    </row>
    <row r="26" spans="1:6" x14ac:dyDescent="0.3">
      <c r="A26" s="141" t="s">
        <v>117</v>
      </c>
      <c r="B26" s="142" t="s">
        <v>73</v>
      </c>
      <c r="C26" s="143" t="s">
        <v>71</v>
      </c>
    </row>
    <row r="27" spans="1:6" x14ac:dyDescent="0.3">
      <c r="A27" s="136" t="s">
        <v>34</v>
      </c>
      <c r="B27" s="139" cm="1">
        <f t="array" ref="B27:B36">TRANSPOSE(ROCE_Analysis!C16:L16)</f>
        <v>0.71438845898430292</v>
      </c>
      <c r="C27" s="145" cm="1">
        <f t="array" ref="C27:C36">TRANSPOSE(DCF_Valuation!B11:K11)</f>
        <v>18676.210569999999</v>
      </c>
    </row>
    <row r="28" spans="1:6" x14ac:dyDescent="0.3">
      <c r="A28" s="136" t="s">
        <v>35</v>
      </c>
      <c r="B28" s="138">
        <v>0.72874381016186707</v>
      </c>
      <c r="C28" s="146">
        <v>18392.388473092909</v>
      </c>
    </row>
    <row r="29" spans="1:6" x14ac:dyDescent="0.3">
      <c r="A29" s="136" t="s">
        <v>36</v>
      </c>
      <c r="B29" s="139">
        <v>0.7428779582428181</v>
      </c>
      <c r="C29" s="146">
        <v>20225.559921879358</v>
      </c>
    </row>
    <row r="30" spans="1:6" x14ac:dyDescent="0.3">
      <c r="A30" s="136" t="s">
        <v>37</v>
      </c>
      <c r="B30" s="139">
        <v>0.75677432456495763</v>
      </c>
      <c r="C30" s="146">
        <v>22282.265646421558</v>
      </c>
    </row>
    <row r="31" spans="1:6" x14ac:dyDescent="0.3">
      <c r="A31" s="136" t="s">
        <v>38</v>
      </c>
      <c r="B31" s="139">
        <v>0.77041893313755827</v>
      </c>
      <c r="C31" s="146">
        <v>24593.039858220051</v>
      </c>
    </row>
    <row r="32" spans="1:6" x14ac:dyDescent="0.3">
      <c r="A32" s="136" t="s">
        <v>142</v>
      </c>
      <c r="B32" s="139">
        <v>0.78380040872296164</v>
      </c>
      <c r="C32" s="146">
        <v>27192.986715727126</v>
      </c>
    </row>
    <row r="33" spans="1:10" x14ac:dyDescent="0.3">
      <c r="A33" s="136" t="s">
        <v>143</v>
      </c>
      <c r="B33" s="139">
        <v>0.79557754952977289</v>
      </c>
      <c r="C33" s="146">
        <v>30122.516715981783</v>
      </c>
    </row>
    <row r="34" spans="1:10" x14ac:dyDescent="0.3">
      <c r="A34" s="136" t="s">
        <v>144</v>
      </c>
      <c r="B34" s="139">
        <v>0.8059082450214442</v>
      </c>
      <c r="C34" s="146">
        <v>33414.396670630857</v>
      </c>
    </row>
    <row r="35" spans="1:10" x14ac:dyDescent="0.3">
      <c r="A35" s="136" t="s">
        <v>145</v>
      </c>
      <c r="B35" s="139">
        <v>0.81494119059584735</v>
      </c>
      <c r="C35" s="146">
        <v>37004.005093530097</v>
      </c>
    </row>
    <row r="36" spans="1:10" x14ac:dyDescent="0.3">
      <c r="A36" s="137" t="s">
        <v>146</v>
      </c>
      <c r="B36" s="140">
        <v>0.82281387345935808</v>
      </c>
      <c r="C36" s="149">
        <v>40909.17094484179</v>
      </c>
    </row>
    <row r="38" spans="1:10" x14ac:dyDescent="0.3">
      <c r="F38" s="127" t="s">
        <v>123</v>
      </c>
      <c r="G38" s="127"/>
      <c r="H38" s="127"/>
      <c r="I38" s="127"/>
      <c r="J38" s="127"/>
    </row>
  </sheetData>
  <mergeCells count="6">
    <mergeCell ref="A12:C12"/>
    <mergeCell ref="A2:C2"/>
    <mergeCell ref="F38:J38"/>
    <mergeCell ref="A25:C25"/>
    <mergeCell ref="A1:G1"/>
    <mergeCell ref="D5:E5"/>
  </mergeCells>
  <phoneticPr fontId="6" type="noConversion"/>
  <conditionalFormatting sqref="I9:J9">
    <cfRule type="cellIs" dxfId="3" priority="1" operator="lessThan">
      <formula>0</formula>
    </cfRule>
    <cfRule type="cellIs" dxfId="2" priority="2" operator="greaterThan">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779F6-79DE-4C3D-BB22-01AEB16ED20C}">
  <dimension ref="A1:F14"/>
  <sheetViews>
    <sheetView tabSelected="1" zoomScaleNormal="100" workbookViewId="0">
      <selection activeCell="L9" sqref="L9"/>
    </sheetView>
  </sheetViews>
  <sheetFormatPr defaultRowHeight="14.4" x14ac:dyDescent="0.3"/>
  <cols>
    <col min="1" max="1" width="21" style="1" bestFit="1" customWidth="1"/>
    <col min="2" max="2" width="9.88671875" style="1" bestFit="1" customWidth="1"/>
    <col min="3" max="16384" width="8.88671875" style="1"/>
  </cols>
  <sheetData>
    <row r="1" spans="1:6" x14ac:dyDescent="0.3">
      <c r="A1" s="120" t="s">
        <v>124</v>
      </c>
      <c r="B1" s="120"/>
      <c r="C1" s="120"/>
      <c r="D1" s="120"/>
      <c r="E1" s="120"/>
      <c r="F1" s="120"/>
    </row>
    <row r="3" spans="1:6" x14ac:dyDescent="0.3">
      <c r="A3" s="132" t="s">
        <v>125</v>
      </c>
      <c r="B3" s="77" t="s">
        <v>14</v>
      </c>
      <c r="C3" s="77" t="s">
        <v>15</v>
      </c>
      <c r="D3" s="77" t="s">
        <v>126</v>
      </c>
    </row>
    <row r="4" spans="1:6" x14ac:dyDescent="0.3">
      <c r="B4" s="8"/>
      <c r="C4" s="8"/>
    </row>
    <row r="5" spans="1:6" x14ac:dyDescent="0.3">
      <c r="A5" s="6" t="s">
        <v>127</v>
      </c>
      <c r="B5" s="61">
        <f>'Income-Statement'!C9-Operating_Margins!C10</f>
        <v>0</v>
      </c>
      <c r="C5" s="61">
        <f>'Income-Statement'!C18-Operating_Margins!C19</f>
        <v>0</v>
      </c>
      <c r="D5" s="129" t="str">
        <f>IF(AND(ABS(B5)&lt;0.01,ABS(C5)&lt;0.01),"OK","Check")</f>
        <v>OK</v>
      </c>
    </row>
    <row r="6" spans="1:6" x14ac:dyDescent="0.3">
      <c r="A6" s="6" t="s">
        <v>128</v>
      </c>
      <c r="B6" s="61">
        <f>'Cash_Flow (FCFF)'!C10-('Income-Statement'!C11+Capex_Depreciation!C10-Capex_Depreciation!C8-Working_Capital!C16)</f>
        <v>0</v>
      </c>
      <c r="C6" s="61">
        <f>'Cash_Flow (FCFF)'!C18-('Income-Statement'!C20+Capex_Depreciation!C19-Capex_Depreciation!C17-Working_Capital!C30)</f>
        <v>0</v>
      </c>
      <c r="D6" s="129" t="str">
        <f t="shared" ref="D6:D14" si="0">IF(AND(ABS(B6)&lt;0.01,ABS(C6)&lt;0.01),"OK","Check")</f>
        <v>OK</v>
      </c>
    </row>
    <row r="7" spans="1:6" x14ac:dyDescent="0.3">
      <c r="A7" s="6" t="s">
        <v>129</v>
      </c>
      <c r="B7" s="61">
        <f>Capex_Depreciation!C11-(Capex_Depreciation!B11+Capex_Depreciation!C8-Capex_Depreciation!C10)</f>
        <v>0</v>
      </c>
      <c r="C7" s="61">
        <f>Capex_Depreciation!C20-(Capex_Depreciation!B20+Capex_Depreciation!C17-Capex_Depreciation!C19)</f>
        <v>0</v>
      </c>
      <c r="D7" s="129" t="str">
        <f t="shared" si="0"/>
        <v>OK</v>
      </c>
    </row>
    <row r="8" spans="1:6" x14ac:dyDescent="0.3">
      <c r="A8" s="6" t="s">
        <v>130</v>
      </c>
      <c r="B8" s="61">
        <f>Working_Capital!C16-(Working_Capital!C15-Working_Capital!B15)</f>
        <v>0</v>
      </c>
      <c r="C8" s="61">
        <f>Working_Capital!C30-(Working_Capital!C29-Working_Capital!B29)</f>
        <v>0</v>
      </c>
      <c r="D8" s="129" t="str">
        <f t="shared" si="0"/>
        <v>OK</v>
      </c>
    </row>
    <row r="9" spans="1:6" x14ac:dyDescent="0.3">
      <c r="A9" s="6" t="s">
        <v>131</v>
      </c>
      <c r="B9" s="130">
        <f>ROCE_Analysis!C8-'Income-Statement'!C9/Balance_Sheet!C9</f>
        <v>0</v>
      </c>
      <c r="C9" s="130">
        <f>ROCE_Analysis!C16-'Income-Statement'!C18/Balance_Sheet!C16</f>
        <v>0</v>
      </c>
      <c r="D9" s="129" t="str">
        <f t="shared" si="0"/>
        <v>OK</v>
      </c>
    </row>
    <row r="10" spans="1:6" x14ac:dyDescent="0.3">
      <c r="A10" s="6" t="s">
        <v>132</v>
      </c>
      <c r="B10" s="130">
        <f>Revenue_Drivers!C7-ROCE_Analysis!C8*((Capex_Depreciation!C8+Working_Capital!C16)/'Income-Statement'!C11)</f>
        <v>-2.0977718734691314E-2</v>
      </c>
      <c r="C10" s="130">
        <f>Revenue_Drivers!C12-ROCE_Analysis!C16*((Capex_Depreciation!C17+Working_Capital!C30)/'Income-Statement'!C20)</f>
        <v>-3.9660384282009867E-2</v>
      </c>
      <c r="D10" s="129" t="str">
        <f>IF(AND(ABS(B10)&lt;0.05,ABS(C10)&lt;0.05),"OK","Check")</f>
        <v>OK</v>
      </c>
    </row>
    <row r="11" spans="1:6" x14ac:dyDescent="0.3">
      <c r="A11" s="6" t="s">
        <v>133</v>
      </c>
      <c r="B11" s="61">
        <f>DCF_Valuation!B8-DCF_Valuation!B6*DCF_Valuation!B7</f>
        <v>0</v>
      </c>
      <c r="C11" s="61">
        <f>DCF_Valuation!B13-DCF_Valuation!B11*DCF_Valuation!B12</f>
        <v>0</v>
      </c>
      <c r="D11" s="129" t="str">
        <f t="shared" si="0"/>
        <v>OK</v>
      </c>
    </row>
    <row r="12" spans="1:6" x14ac:dyDescent="0.3">
      <c r="A12" s="6" t="s">
        <v>134</v>
      </c>
      <c r="B12" s="131">
        <f>DCF_Valuation!B19/DCF_Valuation!B21</f>
        <v>0.76420354212619035</v>
      </c>
      <c r="C12" s="131">
        <f>DCF_Valuation!C19/DCF_Valuation!C21</f>
        <v>0.80754495320672215</v>
      </c>
      <c r="D12" s="129" t="str">
        <f>IF(AND(ABS(B12)&lt;0.85,ABS(C12)&lt;0.85),"OK","Check")</f>
        <v>OK</v>
      </c>
    </row>
    <row r="13" spans="1:6" x14ac:dyDescent="0.3">
      <c r="A13" s="6" t="s">
        <v>135</v>
      </c>
      <c r="B13" s="130">
        <f>DCF_Valuation!B23-(DCF_Valuation!B21-DCF_Valuation!B22)</f>
        <v>0</v>
      </c>
      <c r="C13" s="130">
        <f>DCF_Valuation!C23-(DCF_Valuation!C21-DCF_Valuation!C22)</f>
        <v>0</v>
      </c>
      <c r="D13" s="129" t="str">
        <f t="shared" si="0"/>
        <v>OK</v>
      </c>
    </row>
    <row r="14" spans="1:6" x14ac:dyDescent="0.3">
      <c r="A14" s="6" t="s">
        <v>136</v>
      </c>
      <c r="B14" s="61">
        <f ca="1">IF(COUNTIF(ModelRange,"#*")=0,0,1)</f>
        <v>0</v>
      </c>
      <c r="C14" s="61">
        <f ca="1">IF(COUNTIF(ModelRange,"#*")=0,0,1)</f>
        <v>0</v>
      </c>
      <c r="D14" s="129" t="str">
        <f t="shared" ca="1" si="0"/>
        <v>OK</v>
      </c>
    </row>
  </sheetData>
  <mergeCells count="1">
    <mergeCell ref="A1:F1"/>
  </mergeCells>
  <conditionalFormatting sqref="D5:D14">
    <cfRule type="containsText" dxfId="1" priority="1" operator="containsText" text="Check">
      <formula>NOT(ISERROR(SEARCH("Check",D5)))</formula>
    </cfRule>
    <cfRule type="containsText" dxfId="0" priority="2" operator="containsText" text="OK">
      <formula>NOT(ISERROR(SEARCH("OK",D5)))</formula>
    </cfRule>
  </conditionalFormatting>
  <pageMargins left="0.7" right="0.7" top="0.75" bottom="0.75" header="0.3" footer="0.3"/>
  <ignoredErrors>
    <ignoredError sqref="D10 D12"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Control</vt:lpstr>
      <vt:lpstr>Assumptions</vt:lpstr>
      <vt:lpstr>ROCE_Drivers</vt:lpstr>
      <vt:lpstr>Revenue_Drivers</vt:lpstr>
      <vt:lpstr>Operating_Margins</vt:lpstr>
      <vt:lpstr>Working_Capital</vt:lpstr>
      <vt:lpstr>Capex_Depreciation</vt:lpstr>
      <vt:lpstr>Income-Statement</vt:lpstr>
      <vt:lpstr>Balance_Sheet</vt:lpstr>
      <vt:lpstr>Cash_Flow (FCFF)</vt:lpstr>
      <vt:lpstr>ROCE_Analysis</vt:lpstr>
      <vt:lpstr>WACC</vt:lpstr>
      <vt:lpstr>DCF_Valuation</vt:lpstr>
      <vt:lpstr>Sensitivity</vt:lpstr>
      <vt:lpstr>Stress_Helper</vt:lpstr>
      <vt:lpstr>Output_Dashboard</vt:lpstr>
      <vt:lpstr>Checks</vt:lpstr>
      <vt:lpstr>ModelRange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2025-12-24T17:39:12Z</dcterms:modified>
</cp:coreProperties>
</file>